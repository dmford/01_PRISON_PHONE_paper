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276b0041ec35df/Documents/School/UCR/Individual Study/"/>
    </mc:Choice>
  </mc:AlternateContent>
  <xr:revisionPtr revIDLastSave="1344" documentId="8_{D5B08F6C-204D-4513-B926-CE155E6876A9}" xr6:coauthVersionLast="47" xr6:coauthVersionMax="47" xr10:uidLastSave="{CD8FDB6F-CD8D-4602-B63C-EBD20C943B11}"/>
  <bookViews>
    <workbookView xWindow="28680" yWindow="-120" windowWidth="29040" windowHeight="15840" xr2:uid="{8444E33B-C603-48E3-BF00-43BAAFD6E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3" i="1" l="1"/>
  <c r="K83" i="1"/>
</calcChain>
</file>

<file path=xl/sharedStrings.xml><?xml version="1.0" encoding="utf-8"?>
<sst xmlns="http://schemas.openxmlformats.org/spreadsheetml/2006/main" count="733" uniqueCount="68">
  <si>
    <t>Alabama</t>
  </si>
  <si>
    <t>Arizona</t>
  </si>
  <si>
    <t>Arkansas</t>
  </si>
  <si>
    <t>California</t>
  </si>
  <si>
    <t>Colorado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</si>
  <si>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</si>
  <si>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</si>
  <si>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</si>
  <si>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</si>
  <si>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</si>
  <si>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</si>
  <si>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</si>
  <si>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</si>
  <si>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</si>
  <si>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</si>
  <si>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</si>
  <si>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</si>
  <si>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</si>
  <si>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</si>
  <si>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</si>
  <si>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</si>
  <si>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</si>
  <si>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</si>
  <si>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</si>
  <si>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</si>
  <si>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</si>
  <si>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</si>
  <si>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</si>
  <si>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</si>
  <si>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</si>
  <si>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</si>
  <si>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</si>
  <si>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</si>
  <si>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</si>
  <si>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</si>
  <si>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</si>
  <si>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</si>
  <si>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</si>
  <si>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</si>
  <si>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</si>
  <si>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</si>
  <si>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</si>
  <si>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Wyoming</t>
  </si>
  <si>
    <t>state</t>
  </si>
  <si>
    <t>year</t>
  </si>
  <si>
    <t>mort_rate</t>
  </si>
  <si>
    <t>Alaska</t>
  </si>
  <si>
    <t>Connecticut</t>
  </si>
  <si>
    <t>Delaware</t>
  </si>
  <si>
    <t>Hawaii</t>
  </si>
  <si>
    <t>Louisiana</t>
  </si>
  <si>
    <t>Rhode Island</t>
  </si>
  <si>
    <t>Vermont</t>
  </si>
  <si>
    <t>flag</t>
  </si>
  <si>
    <t>c</t>
  </si>
  <si>
    <t>d</t>
  </si>
  <si>
    <t>e</t>
  </si>
  <si>
    <t>Federal</t>
  </si>
  <si>
    <t>State</t>
  </si>
  <si>
    <t>a</t>
  </si>
  <si>
    <t>b</t>
  </si>
  <si>
    <t>Mortality rate per 100,000 state and federal prisoners, by jurisdiction, 2001 and 2008–2018</t>
  </si>
  <si>
    <t>out_of_state_rate</t>
  </si>
  <si>
    <t>in_state_rate</t>
  </si>
  <si>
    <t>2012-2013 Average</t>
  </si>
  <si>
    <t>2014-2015 Average</t>
  </si>
  <si>
    <t>oos_drop_percent_2013_2014</t>
  </si>
  <si>
    <t>oos_drop_rank_2013_2014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</si>
</sst>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C4C4C"/>
      <name val="Georgia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8" fontId="2" fillId="2" borderId="1" xfId="0" applyNumberFormat="1" applyFont="1" applyFill="1" applyBorder="1" applyAlignment="1">
      <alignment vertical="top" wrapText="1"/>
    </xf>
    <xf numFmtId="0" fontId="3" fillId="2" borderId="1" xfId="1" applyFill="1" applyBorder="1" applyAlignment="1">
      <alignment horizontal="left" wrapText="1"/>
    </xf>
    <xf numFmtId="0" fontId="2" fillId="2" borderId="0" xfId="0" applyFont="1" applyFill="1" applyBorder="1" applyAlignment="1">
      <alignment vertical="top" wrapText="1"/>
    </xf>
    <xf numFmtId="0" fontId="0" fillId="0" borderId="1" xfId="0" applyBorder="1"/>
    <xf numFmtId="0" fontId="0" fillId="0" borderId="0" xfId="0" applyBorder="1"/>
    <xf numFmtId="8" fontId="2" fillId="2" borderId="0" xfId="0" applyNumberFormat="1" applyFont="1" applyFill="1" applyBorder="1" applyAlignment="1">
      <alignment vertical="top" wrapText="1"/>
    </xf>
    <xf numFmtId="2" fontId="2" fillId="2" borderId="1" xfId="0" applyNumberFormat="1" applyFont="1" applyFill="1" applyBorder="1" applyAlignment="1">
      <alignment vertical="top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CE443-6085-4440-857F-9B03E49919E7}" name="Table1" displayName="Table1" ref="A2:H626" totalsRowShown="0">
  <autoFilter ref="A2:H626" xr:uid="{167CE443-6085-4440-857F-9B03E49919E7}">
    <filterColumn colId="1">
      <filters>
        <filter val="2012"/>
        <filter val="2013"/>
        <filter val="2014"/>
        <filter val="2015"/>
        <filter val="2016"/>
        <filter val="2017"/>
        <filter val="2018"/>
      </filters>
    </filterColumn>
  </autoFilter>
  <sortState xmlns:xlrd2="http://schemas.microsoft.com/office/spreadsheetml/2017/richdata2" ref="A3:H626">
    <sortCondition ref="A2:A626"/>
  </sortState>
  <tableColumns count="8">
    <tableColumn id="1" xr3:uid="{63E36848-33AA-457E-8714-A9EC9C8CD77A}" name="state"/>
    <tableColumn id="2" xr3:uid="{5B6269CC-230A-4CA9-AC0A-73F16F4C48A6}" name="year"/>
    <tableColumn id="3" xr3:uid="{B68C0A89-BB44-4DA0-8AD9-1081351B8100}" name="mort_rate"/>
    <tableColumn id="4" xr3:uid="{7655CF9E-27C5-496C-A2DF-84E66F915EFF}" name="flag"/>
    <tableColumn id="5" xr3:uid="{FA898D76-E903-4E42-BEDC-B9A97F2359B8}" name="out_of_state_rate"/>
    <tableColumn id="6" xr3:uid="{E4107F0D-FB41-426E-97C6-08ED32156646}" name="in_state_rate"/>
    <tableColumn id="8" xr3:uid="{9F0FC135-D41E-4BD5-8DF3-31FC427052F5}" name="oos_drop_percent_2013_2014"/>
    <tableColumn id="9" xr3:uid="{982AA9BA-AF35-4814-A3F4-29D5CE8B80D0}" name="oos_drop_rank_2013_20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C8E7-0292-4C7E-B76E-7D7FB8752C2E}">
  <dimension ref="A1:AA626"/>
  <sheetViews>
    <sheetView tabSelected="1" zoomScale="85" zoomScaleNormal="85" workbookViewId="0">
      <pane xSplit="6" ySplit="2" topLeftCell="G3" activePane="bottomRight" state="frozen"/>
      <selection pane="topRight" activeCell="H1" sqref="H1"/>
      <selection pane="bottomLeft" activeCell="A3" sqref="A3"/>
      <selection pane="bottomRight" activeCell="H2" sqref="H2"/>
    </sheetView>
  </sheetViews>
  <sheetFormatPr defaultRowHeight="14.4" x14ac:dyDescent="0.3"/>
  <cols>
    <col min="3" max="3" width="11.5546875" customWidth="1"/>
    <col min="5" max="5" width="18.33203125" customWidth="1"/>
    <col min="6" max="6" width="14.33203125" customWidth="1"/>
    <col min="10" max="10" width="10.109375" bestFit="1" customWidth="1"/>
    <col min="15" max="15" width="10" bestFit="1" customWidth="1"/>
    <col min="16" max="16" width="8.44140625" bestFit="1" customWidth="1"/>
    <col min="17" max="17" width="7.21875" bestFit="1" customWidth="1"/>
  </cols>
  <sheetData>
    <row r="1" spans="1:27" x14ac:dyDescent="0.3">
      <c r="A1" t="s">
        <v>61</v>
      </c>
    </row>
    <row r="2" spans="1:27" x14ac:dyDescent="0.3">
      <c r="A2" t="s">
        <v>43</v>
      </c>
      <c r="B2" t="s">
        <v>44</v>
      </c>
      <c r="C2" t="s">
        <v>45</v>
      </c>
      <c r="D2" t="s">
        <v>53</v>
      </c>
      <c r="E2" t="s">
        <v>62</v>
      </c>
      <c r="F2" t="s">
        <v>63</v>
      </c>
      <c r="G2" t="s">
        <v>66</v>
      </c>
      <c r="H2" t="s">
        <v>67</v>
      </c>
      <c r="J2" s="9"/>
      <c r="M2" s="9"/>
    </row>
    <row r="3" spans="1:27" hidden="1" x14ac:dyDescent="0.3">
      <c r="A3" t="s">
        <v>0</v>
      </c>
      <c r="B3">
        <v>2001</v>
      </c>
      <c r="C3">
        <v>352</v>
      </c>
      <c r="G3" s="6"/>
      <c r="H3" s="6"/>
    </row>
    <row r="4" spans="1:27" hidden="1" x14ac:dyDescent="0.3">
      <c r="A4" t="s">
        <v>0</v>
      </c>
      <c r="B4">
        <v>2008</v>
      </c>
      <c r="C4">
        <v>296</v>
      </c>
      <c r="E4">
        <v>16.41</v>
      </c>
      <c r="F4">
        <v>5.19</v>
      </c>
      <c r="G4" s="6"/>
      <c r="H4" s="6"/>
    </row>
    <row r="5" spans="1:27" ht="15" hidden="1" thickBot="1" x14ac:dyDescent="0.35">
      <c r="A5" t="s">
        <v>0</v>
      </c>
      <c r="B5">
        <v>2009</v>
      </c>
      <c r="C5">
        <v>294</v>
      </c>
      <c r="G5" s="6"/>
      <c r="H5" s="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idden="1" x14ac:dyDescent="0.3">
      <c r="A6" t="s">
        <v>0</v>
      </c>
      <c r="B6">
        <v>2010</v>
      </c>
      <c r="C6">
        <v>241</v>
      </c>
      <c r="G6" s="6"/>
      <c r="H6" s="6"/>
    </row>
    <row r="7" spans="1:27" hidden="1" x14ac:dyDescent="0.3">
      <c r="A7" t="s">
        <v>0</v>
      </c>
      <c r="B7">
        <v>2011</v>
      </c>
      <c r="C7">
        <v>388</v>
      </c>
      <c r="G7" s="6"/>
      <c r="H7" s="6"/>
    </row>
    <row r="8" spans="1:27" x14ac:dyDescent="0.3">
      <c r="A8" t="s">
        <v>0</v>
      </c>
      <c r="B8">
        <v>2012</v>
      </c>
      <c r="C8">
        <v>321</v>
      </c>
      <c r="G8" s="6"/>
      <c r="H8" s="6"/>
    </row>
    <row r="9" spans="1:27" x14ac:dyDescent="0.3">
      <c r="A9" t="s">
        <v>0</v>
      </c>
      <c r="B9">
        <v>2013</v>
      </c>
      <c r="C9">
        <v>399</v>
      </c>
      <c r="E9">
        <v>17.3</v>
      </c>
      <c r="F9">
        <v>5.12</v>
      </c>
      <c r="G9" s="6"/>
      <c r="H9" s="6"/>
    </row>
    <row r="10" spans="1:27" x14ac:dyDescent="0.3">
      <c r="A10" t="s">
        <v>0</v>
      </c>
      <c r="B10">
        <v>2014</v>
      </c>
      <c r="C10">
        <v>390</v>
      </c>
      <c r="E10">
        <v>3.15</v>
      </c>
      <c r="F10">
        <v>5.12</v>
      </c>
      <c r="G10">
        <v>0.18208092485549132</v>
      </c>
      <c r="H10">
        <v>2</v>
      </c>
    </row>
    <row r="11" spans="1:27" x14ac:dyDescent="0.3">
      <c r="A11" t="s">
        <v>0</v>
      </c>
      <c r="B11">
        <v>2015</v>
      </c>
      <c r="C11">
        <v>444</v>
      </c>
      <c r="F11">
        <v>3.75</v>
      </c>
    </row>
    <row r="12" spans="1:27" x14ac:dyDescent="0.3">
      <c r="A12" t="s">
        <v>0</v>
      </c>
      <c r="B12">
        <v>2016</v>
      </c>
      <c r="C12">
        <v>497</v>
      </c>
      <c r="F12">
        <v>3.15</v>
      </c>
      <c r="G12" s="6"/>
      <c r="H12" s="6"/>
    </row>
    <row r="13" spans="1:27" x14ac:dyDescent="0.3">
      <c r="A13" t="s">
        <v>0</v>
      </c>
      <c r="B13">
        <v>2017</v>
      </c>
      <c r="C13">
        <v>531</v>
      </c>
      <c r="F13">
        <v>3.15</v>
      </c>
      <c r="G13" s="6"/>
      <c r="H13" s="6"/>
    </row>
    <row r="14" spans="1:27" x14ac:dyDescent="0.3">
      <c r="A14" t="s">
        <v>0</v>
      </c>
      <c r="B14">
        <v>2018</v>
      </c>
      <c r="C14">
        <v>588</v>
      </c>
      <c r="E14">
        <v>3.15</v>
      </c>
      <c r="F14">
        <v>3.15</v>
      </c>
      <c r="G14" s="6"/>
      <c r="H14" s="6"/>
    </row>
    <row r="15" spans="1:27" hidden="1" x14ac:dyDescent="0.3">
      <c r="A15" t="s">
        <v>46</v>
      </c>
      <c r="B15">
        <v>2001</v>
      </c>
      <c r="C15">
        <v>175</v>
      </c>
      <c r="D15" t="s">
        <v>54</v>
      </c>
      <c r="G15" s="6"/>
      <c r="H15" s="6"/>
    </row>
    <row r="16" spans="1:27" hidden="1" x14ac:dyDescent="0.3">
      <c r="A16" t="s">
        <v>46</v>
      </c>
      <c r="B16">
        <v>2008</v>
      </c>
      <c r="C16">
        <v>280</v>
      </c>
      <c r="D16" t="s">
        <v>54</v>
      </c>
      <c r="E16">
        <v>16.41</v>
      </c>
      <c r="F16">
        <v>5.19</v>
      </c>
      <c r="G16" s="6"/>
      <c r="H16" s="6"/>
    </row>
    <row r="17" spans="1:8" hidden="1" x14ac:dyDescent="0.3">
      <c r="A17" t="s">
        <v>46</v>
      </c>
      <c r="B17">
        <v>2009</v>
      </c>
      <c r="C17">
        <v>128</v>
      </c>
      <c r="D17" t="s">
        <v>54</v>
      </c>
      <c r="G17" s="6"/>
      <c r="H17" s="6"/>
    </row>
    <row r="18" spans="1:8" hidden="1" x14ac:dyDescent="0.3">
      <c r="A18" t="s">
        <v>46</v>
      </c>
      <c r="B18">
        <v>2010</v>
      </c>
      <c r="C18">
        <v>242</v>
      </c>
      <c r="D18" t="s">
        <v>54</v>
      </c>
      <c r="G18" s="6"/>
      <c r="H18" s="6"/>
    </row>
    <row r="19" spans="1:8" hidden="1" x14ac:dyDescent="0.3">
      <c r="A19" t="s">
        <v>46</v>
      </c>
      <c r="B19">
        <v>2011</v>
      </c>
      <c r="C19">
        <v>193</v>
      </c>
      <c r="D19" t="s">
        <v>54</v>
      </c>
      <c r="G19" s="6"/>
      <c r="H19" s="6"/>
    </row>
    <row r="20" spans="1:8" x14ac:dyDescent="0.3">
      <c r="A20" t="s">
        <v>46</v>
      </c>
      <c r="B20">
        <v>2012</v>
      </c>
      <c r="C20">
        <v>174</v>
      </c>
      <c r="D20" t="s">
        <v>54</v>
      </c>
      <c r="G20" s="6"/>
      <c r="H20" s="6"/>
    </row>
    <row r="21" spans="1:8" x14ac:dyDescent="0.3">
      <c r="A21" t="s">
        <v>46</v>
      </c>
      <c r="B21">
        <v>2013</v>
      </c>
      <c r="C21">
        <v>157</v>
      </c>
      <c r="D21" t="s">
        <v>54</v>
      </c>
      <c r="E21">
        <v>17.3</v>
      </c>
      <c r="F21">
        <v>5.12</v>
      </c>
      <c r="G21" s="6"/>
      <c r="H21" s="6"/>
    </row>
    <row r="22" spans="1:8" x14ac:dyDescent="0.3">
      <c r="A22" t="s">
        <v>46</v>
      </c>
      <c r="B22">
        <v>2014</v>
      </c>
      <c r="C22">
        <v>190</v>
      </c>
      <c r="D22" t="s">
        <v>54</v>
      </c>
      <c r="E22">
        <v>3.15</v>
      </c>
      <c r="F22">
        <v>5.12</v>
      </c>
      <c r="G22">
        <v>0.18208092485549132</v>
      </c>
      <c r="H22">
        <v>2</v>
      </c>
    </row>
    <row r="23" spans="1:8" x14ac:dyDescent="0.3">
      <c r="A23" t="s">
        <v>46</v>
      </c>
      <c r="B23">
        <v>2015</v>
      </c>
      <c r="C23">
        <v>286</v>
      </c>
      <c r="D23" t="s">
        <v>54</v>
      </c>
      <c r="F23">
        <v>3.75</v>
      </c>
      <c r="G23" s="6"/>
      <c r="H23" s="6"/>
    </row>
    <row r="24" spans="1:8" x14ac:dyDescent="0.3">
      <c r="A24" t="s">
        <v>46</v>
      </c>
      <c r="B24">
        <v>2016</v>
      </c>
      <c r="C24">
        <v>228</v>
      </c>
      <c r="D24" t="s">
        <v>54</v>
      </c>
      <c r="F24">
        <v>3.15</v>
      </c>
      <c r="G24" s="6"/>
      <c r="H24" s="6"/>
    </row>
    <row r="25" spans="1:8" x14ac:dyDescent="0.3">
      <c r="A25" t="s">
        <v>46</v>
      </c>
      <c r="B25">
        <v>2017</v>
      </c>
      <c r="C25">
        <v>206</v>
      </c>
      <c r="D25" t="s">
        <v>54</v>
      </c>
      <c r="F25">
        <v>3.15</v>
      </c>
      <c r="G25" s="6"/>
      <c r="H25" s="6"/>
    </row>
    <row r="26" spans="1:8" x14ac:dyDescent="0.3">
      <c r="A26" t="s">
        <v>46</v>
      </c>
      <c r="B26">
        <v>2018</v>
      </c>
      <c r="C26">
        <v>260</v>
      </c>
      <c r="D26" t="s">
        <v>54</v>
      </c>
      <c r="E26">
        <v>3.15</v>
      </c>
      <c r="F26">
        <v>3.15</v>
      </c>
    </row>
    <row r="27" spans="1:8" hidden="1" x14ac:dyDescent="0.3">
      <c r="A27" t="s">
        <v>1</v>
      </c>
      <c r="B27">
        <v>2001</v>
      </c>
      <c r="C27">
        <v>231</v>
      </c>
      <c r="G27" s="6"/>
      <c r="H27" s="6"/>
    </row>
    <row r="28" spans="1:8" hidden="1" x14ac:dyDescent="0.3">
      <c r="A28" t="s">
        <v>1</v>
      </c>
      <c r="B28">
        <v>2008</v>
      </c>
      <c r="C28">
        <v>195</v>
      </c>
      <c r="E28">
        <v>7.8</v>
      </c>
      <c r="F28">
        <v>5.4</v>
      </c>
      <c r="G28" s="6"/>
      <c r="H28" s="6"/>
    </row>
    <row r="29" spans="1:8" hidden="1" x14ac:dyDescent="0.3">
      <c r="A29" t="s">
        <v>1</v>
      </c>
      <c r="B29">
        <v>2009</v>
      </c>
      <c r="C29">
        <v>210</v>
      </c>
      <c r="G29" s="6"/>
      <c r="H29" s="6"/>
    </row>
    <row r="30" spans="1:8" hidden="1" x14ac:dyDescent="0.3">
      <c r="A30" t="s">
        <v>1</v>
      </c>
      <c r="B30">
        <v>2010</v>
      </c>
      <c r="C30">
        <v>212</v>
      </c>
      <c r="G30" s="6"/>
      <c r="H30" s="6"/>
    </row>
    <row r="31" spans="1:8" hidden="1" x14ac:dyDescent="0.3">
      <c r="A31" t="s">
        <v>1</v>
      </c>
      <c r="B31">
        <v>2011</v>
      </c>
      <c r="C31">
        <v>215</v>
      </c>
      <c r="G31" s="6"/>
      <c r="H31" s="6"/>
    </row>
    <row r="32" spans="1:8" x14ac:dyDescent="0.3">
      <c r="A32" t="s">
        <v>1</v>
      </c>
      <c r="B32">
        <v>2012</v>
      </c>
      <c r="C32">
        <v>217</v>
      </c>
      <c r="G32" s="6"/>
      <c r="H32" s="6"/>
    </row>
    <row r="33" spans="1:8" x14ac:dyDescent="0.3">
      <c r="A33" t="s">
        <v>1</v>
      </c>
      <c r="B33">
        <v>2013</v>
      </c>
      <c r="C33">
        <v>232</v>
      </c>
      <c r="E33">
        <v>8</v>
      </c>
      <c r="F33">
        <v>4.5999999999999996</v>
      </c>
      <c r="G33" s="6"/>
      <c r="H33" s="6"/>
    </row>
    <row r="34" spans="1:8" x14ac:dyDescent="0.3">
      <c r="A34" t="s">
        <v>1</v>
      </c>
      <c r="B34">
        <v>2014</v>
      </c>
      <c r="C34">
        <v>235</v>
      </c>
      <c r="E34">
        <v>3.15</v>
      </c>
      <c r="F34">
        <v>5</v>
      </c>
      <c r="G34">
        <v>0.39374999999999999</v>
      </c>
      <c r="H34">
        <v>14</v>
      </c>
    </row>
    <row r="35" spans="1:8" x14ac:dyDescent="0.3">
      <c r="A35" t="s">
        <v>1</v>
      </c>
      <c r="B35">
        <v>2015</v>
      </c>
      <c r="C35">
        <v>249</v>
      </c>
      <c r="F35">
        <v>6</v>
      </c>
      <c r="G35" s="6"/>
      <c r="H35" s="6"/>
    </row>
    <row r="36" spans="1:8" x14ac:dyDescent="0.3">
      <c r="A36" t="s">
        <v>1</v>
      </c>
      <c r="B36">
        <v>2016</v>
      </c>
      <c r="C36">
        <v>298</v>
      </c>
      <c r="F36">
        <v>3.15</v>
      </c>
      <c r="G36" s="6"/>
      <c r="H36" s="6"/>
    </row>
    <row r="37" spans="1:8" x14ac:dyDescent="0.3">
      <c r="A37" t="s">
        <v>1</v>
      </c>
      <c r="B37">
        <v>2017</v>
      </c>
      <c r="C37">
        <v>317</v>
      </c>
      <c r="F37">
        <v>3</v>
      </c>
      <c r="G37" s="6"/>
      <c r="H37" s="6"/>
    </row>
    <row r="38" spans="1:8" x14ac:dyDescent="0.3">
      <c r="A38" t="s">
        <v>1</v>
      </c>
      <c r="B38">
        <v>2018</v>
      </c>
      <c r="C38">
        <v>312</v>
      </c>
      <c r="E38">
        <v>3.92</v>
      </c>
      <c r="F38">
        <v>4.8</v>
      </c>
      <c r="G38" s="6"/>
      <c r="H38" s="6"/>
    </row>
    <row r="39" spans="1:8" hidden="1" x14ac:dyDescent="0.3">
      <c r="A39" t="s">
        <v>2</v>
      </c>
      <c r="B39">
        <v>2001</v>
      </c>
      <c r="C39">
        <v>366</v>
      </c>
      <c r="G39" s="6"/>
      <c r="H39" s="6"/>
    </row>
    <row r="40" spans="1:8" hidden="1" x14ac:dyDescent="0.3">
      <c r="A40" t="s">
        <v>2</v>
      </c>
      <c r="B40">
        <v>2008</v>
      </c>
      <c r="C40">
        <v>312</v>
      </c>
      <c r="E40">
        <v>10.25</v>
      </c>
      <c r="F40">
        <v>4.68</v>
      </c>
      <c r="G40" s="4"/>
      <c r="H40" s="7"/>
    </row>
    <row r="41" spans="1:8" hidden="1" x14ac:dyDescent="0.3">
      <c r="A41" t="s">
        <v>2</v>
      </c>
      <c r="B41">
        <v>2009</v>
      </c>
      <c r="C41">
        <v>375</v>
      </c>
      <c r="G41" s="4"/>
      <c r="H41" s="7"/>
    </row>
    <row r="42" spans="1:8" hidden="1" x14ac:dyDescent="0.3">
      <c r="A42" t="s">
        <v>2</v>
      </c>
      <c r="B42">
        <v>2010</v>
      </c>
      <c r="C42">
        <v>380</v>
      </c>
      <c r="G42" s="4"/>
      <c r="H42" s="7"/>
    </row>
    <row r="43" spans="1:8" hidden="1" x14ac:dyDescent="0.3">
      <c r="A43" t="s">
        <v>2</v>
      </c>
      <c r="B43">
        <v>2011</v>
      </c>
      <c r="C43">
        <v>355</v>
      </c>
      <c r="G43" s="4"/>
      <c r="H43" s="7"/>
    </row>
    <row r="44" spans="1:8" x14ac:dyDescent="0.3">
      <c r="A44" t="s">
        <v>2</v>
      </c>
      <c r="B44">
        <v>2012</v>
      </c>
      <c r="C44">
        <v>306</v>
      </c>
      <c r="G44" s="4"/>
      <c r="H44" s="7"/>
    </row>
    <row r="45" spans="1:8" x14ac:dyDescent="0.3">
      <c r="A45" t="s">
        <v>2</v>
      </c>
      <c r="B45">
        <v>2013</v>
      </c>
      <c r="C45">
        <v>392</v>
      </c>
      <c r="G45" s="4"/>
      <c r="H45" s="7"/>
    </row>
    <row r="46" spans="1:8" x14ac:dyDescent="0.3">
      <c r="A46" t="s">
        <v>2</v>
      </c>
      <c r="B46">
        <v>2014</v>
      </c>
      <c r="C46">
        <v>374</v>
      </c>
      <c r="E46">
        <v>3.15</v>
      </c>
      <c r="F46">
        <v>4.8</v>
      </c>
      <c r="G46" s="4"/>
      <c r="H46" s="7"/>
    </row>
    <row r="47" spans="1:8" x14ac:dyDescent="0.3">
      <c r="A47" t="s">
        <v>2</v>
      </c>
      <c r="B47">
        <v>2015</v>
      </c>
      <c r="C47">
        <v>342</v>
      </c>
      <c r="F47">
        <v>4.8</v>
      </c>
      <c r="G47" s="4"/>
      <c r="H47" s="4"/>
    </row>
    <row r="48" spans="1:8" x14ac:dyDescent="0.3">
      <c r="A48" t="s">
        <v>2</v>
      </c>
      <c r="B48">
        <v>2016</v>
      </c>
      <c r="C48">
        <v>448</v>
      </c>
      <c r="F48">
        <v>4.8</v>
      </c>
      <c r="G48" s="4"/>
      <c r="H48" s="7"/>
    </row>
    <row r="49" spans="1:19" x14ac:dyDescent="0.3">
      <c r="A49" t="s">
        <v>2</v>
      </c>
      <c r="B49">
        <v>2017</v>
      </c>
      <c r="C49">
        <v>510</v>
      </c>
      <c r="F49">
        <v>4.8</v>
      </c>
      <c r="G49" s="4"/>
      <c r="H49" s="7"/>
    </row>
    <row r="50" spans="1:19" x14ac:dyDescent="0.3">
      <c r="A50" t="s">
        <v>2</v>
      </c>
      <c r="B50">
        <v>2018</v>
      </c>
      <c r="C50">
        <v>488</v>
      </c>
      <c r="E50">
        <v>3.15</v>
      </c>
      <c r="F50">
        <v>4.8</v>
      </c>
      <c r="G50" s="4"/>
      <c r="H50" s="7"/>
    </row>
    <row r="51" spans="1:19" hidden="1" x14ac:dyDescent="0.3">
      <c r="A51" t="s">
        <v>3</v>
      </c>
      <c r="B51">
        <v>2001</v>
      </c>
      <c r="C51">
        <v>183</v>
      </c>
      <c r="G51" s="4"/>
      <c r="H51" s="7"/>
    </row>
    <row r="52" spans="1:19" hidden="1" x14ac:dyDescent="0.3">
      <c r="A52" t="s">
        <v>3</v>
      </c>
      <c r="B52">
        <v>2008</v>
      </c>
      <c r="C52">
        <v>217</v>
      </c>
      <c r="E52">
        <v>13.75</v>
      </c>
      <c r="F52">
        <v>4.2300000000000004</v>
      </c>
      <c r="G52" s="4"/>
      <c r="H52" s="7"/>
    </row>
    <row r="53" spans="1:19" hidden="1" x14ac:dyDescent="0.3">
      <c r="A53" t="s">
        <v>3</v>
      </c>
      <c r="B53">
        <v>2009</v>
      </c>
      <c r="C53">
        <v>234</v>
      </c>
      <c r="G53" s="4"/>
      <c r="H53" s="7"/>
    </row>
    <row r="54" spans="1:19" hidden="1" x14ac:dyDescent="0.3">
      <c r="A54" t="s">
        <v>3</v>
      </c>
      <c r="B54">
        <v>2010</v>
      </c>
      <c r="C54">
        <v>254</v>
      </c>
      <c r="G54" s="4"/>
      <c r="H54" s="7"/>
    </row>
    <row r="55" spans="1:19" hidden="1" x14ac:dyDescent="0.3">
      <c r="A55" t="s">
        <v>3</v>
      </c>
      <c r="B55">
        <v>2011</v>
      </c>
      <c r="C55">
        <v>263</v>
      </c>
      <c r="G55" s="4"/>
      <c r="H55" s="7"/>
    </row>
    <row r="56" spans="1:19" x14ac:dyDescent="0.3">
      <c r="A56" t="s">
        <v>3</v>
      </c>
      <c r="B56">
        <v>2012</v>
      </c>
      <c r="C56">
        <v>277</v>
      </c>
      <c r="G56" s="6"/>
      <c r="H56" s="6"/>
    </row>
    <row r="57" spans="1:19" x14ac:dyDescent="0.3">
      <c r="A57" t="s">
        <v>3</v>
      </c>
      <c r="B57">
        <v>2013</v>
      </c>
      <c r="C57">
        <v>272</v>
      </c>
      <c r="E57">
        <v>6.6</v>
      </c>
      <c r="F57">
        <v>2.0299999999999998</v>
      </c>
      <c r="G57" s="4"/>
      <c r="H57" s="7"/>
    </row>
    <row r="58" spans="1:19" x14ac:dyDescent="0.3">
      <c r="A58" t="s">
        <v>3</v>
      </c>
      <c r="B58">
        <v>2014</v>
      </c>
      <c r="C58">
        <v>236</v>
      </c>
      <c r="E58">
        <v>3.15</v>
      </c>
      <c r="F58">
        <v>2.0299999999999998</v>
      </c>
      <c r="G58" s="4">
        <v>0.47727272727272729</v>
      </c>
      <c r="H58">
        <v>16</v>
      </c>
    </row>
    <row r="59" spans="1:19" x14ac:dyDescent="0.3">
      <c r="A59" t="s">
        <v>3</v>
      </c>
      <c r="B59">
        <v>2015</v>
      </c>
      <c r="C59">
        <v>276</v>
      </c>
      <c r="F59">
        <v>2.0299999999999998</v>
      </c>
      <c r="G59" s="4"/>
      <c r="H59" s="7"/>
    </row>
    <row r="60" spans="1:19" x14ac:dyDescent="0.3">
      <c r="A60" t="s">
        <v>3</v>
      </c>
      <c r="B60">
        <v>2016</v>
      </c>
      <c r="C60">
        <v>258</v>
      </c>
      <c r="F60">
        <v>2.02</v>
      </c>
      <c r="G60" s="4"/>
      <c r="H60" s="7"/>
    </row>
    <row r="61" spans="1:19" x14ac:dyDescent="0.3">
      <c r="A61" t="s">
        <v>3</v>
      </c>
      <c r="B61">
        <v>2017</v>
      </c>
      <c r="C61">
        <v>295</v>
      </c>
      <c r="E61">
        <v>3.15</v>
      </c>
      <c r="F61">
        <v>2.0299999999999998</v>
      </c>
      <c r="G61" s="4"/>
      <c r="H61" s="7"/>
    </row>
    <row r="62" spans="1:19" ht="15" thickBot="1" x14ac:dyDescent="0.35">
      <c r="A62" t="s">
        <v>3</v>
      </c>
      <c r="B62">
        <v>2018</v>
      </c>
      <c r="C62">
        <v>352</v>
      </c>
      <c r="E62">
        <v>3.15</v>
      </c>
      <c r="F62">
        <v>2.0299999999999998</v>
      </c>
      <c r="G62" s="4"/>
      <c r="H62" s="7"/>
    </row>
    <row r="63" spans="1:19" ht="15" hidden="1" thickBot="1" x14ac:dyDescent="0.35">
      <c r="A63" t="s">
        <v>4</v>
      </c>
      <c r="B63">
        <v>2001</v>
      </c>
      <c r="C63">
        <v>243</v>
      </c>
      <c r="G63" s="4"/>
      <c r="H63" s="7"/>
    </row>
    <row r="64" spans="1:19" ht="15" hidden="1" thickBot="1" x14ac:dyDescent="0.35">
      <c r="A64" t="s">
        <v>4</v>
      </c>
      <c r="B64">
        <v>2008</v>
      </c>
      <c r="C64">
        <v>164</v>
      </c>
      <c r="E64">
        <v>16.41</v>
      </c>
      <c r="F64">
        <v>5.97</v>
      </c>
      <c r="G64" s="1"/>
      <c r="H64" s="1"/>
      <c r="I64" s="2"/>
      <c r="J64" s="1"/>
      <c r="K64" s="1"/>
      <c r="L64" s="2"/>
      <c r="M64" s="2"/>
      <c r="N64" s="2"/>
      <c r="O64" s="2"/>
      <c r="P64" s="1"/>
      <c r="Q64" s="2"/>
      <c r="R64" s="2"/>
      <c r="S64" s="2"/>
    </row>
    <row r="65" spans="1:19" ht="15" hidden="1" thickBot="1" x14ac:dyDescent="0.35">
      <c r="A65" t="s">
        <v>4</v>
      </c>
      <c r="B65">
        <v>2009</v>
      </c>
      <c r="C65">
        <v>216</v>
      </c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" hidden="1" thickBot="1" x14ac:dyDescent="0.35">
      <c r="A66" t="s">
        <v>4</v>
      </c>
      <c r="B66">
        <v>2010</v>
      </c>
      <c r="C66">
        <v>211</v>
      </c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" hidden="1" thickBot="1" x14ac:dyDescent="0.35">
      <c r="A67" t="s">
        <v>4</v>
      </c>
      <c r="B67">
        <v>2011</v>
      </c>
      <c r="C67">
        <v>169</v>
      </c>
      <c r="G67" s="1"/>
      <c r="H67" s="2"/>
      <c r="I67" s="2"/>
      <c r="J67" s="2"/>
      <c r="K67" s="2"/>
      <c r="L67" s="2"/>
      <c r="M67" s="2"/>
      <c r="N67" s="2"/>
      <c r="O67" s="2"/>
      <c r="P67" s="1"/>
      <c r="Q67" s="2"/>
      <c r="R67" s="2"/>
      <c r="S67" s="2"/>
    </row>
    <row r="68" spans="1:19" ht="15" thickBot="1" x14ac:dyDescent="0.35">
      <c r="A68" t="s">
        <v>4</v>
      </c>
      <c r="B68">
        <v>2012</v>
      </c>
      <c r="C68">
        <v>236</v>
      </c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" thickBot="1" x14ac:dyDescent="0.35">
      <c r="A69" t="s">
        <v>4</v>
      </c>
      <c r="B69">
        <v>2013</v>
      </c>
      <c r="C69">
        <v>198</v>
      </c>
      <c r="E69">
        <v>3.45</v>
      </c>
      <c r="F69">
        <v>3.2</v>
      </c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" thickBot="1" x14ac:dyDescent="0.35">
      <c r="A70" t="s">
        <v>4</v>
      </c>
      <c r="B70">
        <v>2014</v>
      </c>
      <c r="C70">
        <v>171</v>
      </c>
      <c r="E70">
        <v>3.15</v>
      </c>
      <c r="F70">
        <v>5</v>
      </c>
      <c r="G70" s="1">
        <v>0.91304347826086951</v>
      </c>
      <c r="H70" s="5">
        <v>28</v>
      </c>
      <c r="I70" s="2"/>
      <c r="J70" s="1"/>
      <c r="K70" s="1"/>
      <c r="L70" s="2"/>
      <c r="M70" s="2"/>
      <c r="N70" s="2"/>
      <c r="O70" s="2"/>
      <c r="P70" s="2"/>
      <c r="Q70" s="2"/>
      <c r="R70" s="2"/>
      <c r="S70" s="2"/>
    </row>
    <row r="71" spans="1:19" ht="15" thickBot="1" x14ac:dyDescent="0.35">
      <c r="A71" t="s">
        <v>4</v>
      </c>
      <c r="B71">
        <v>2015</v>
      </c>
      <c r="C71">
        <v>256</v>
      </c>
      <c r="F71">
        <v>3.75</v>
      </c>
      <c r="G71" s="1"/>
      <c r="H71" s="2"/>
      <c r="I71" s="2"/>
      <c r="J71" s="1"/>
      <c r="K71" s="1"/>
      <c r="L71" s="2"/>
      <c r="M71" s="2"/>
      <c r="N71" s="2"/>
      <c r="O71" s="2"/>
      <c r="P71" s="2"/>
      <c r="Q71" s="2"/>
      <c r="R71" s="2"/>
      <c r="S71" s="2"/>
    </row>
    <row r="72" spans="1:19" ht="15" thickBot="1" x14ac:dyDescent="0.35">
      <c r="A72" t="s">
        <v>4</v>
      </c>
      <c r="B72">
        <v>2016</v>
      </c>
      <c r="C72">
        <v>293</v>
      </c>
      <c r="F72">
        <v>1.8</v>
      </c>
      <c r="G72" s="1"/>
      <c r="H72" s="2"/>
      <c r="I72" s="2"/>
      <c r="J72" s="1"/>
      <c r="K72" s="1"/>
      <c r="L72" s="2"/>
      <c r="M72" s="2"/>
      <c r="N72" s="2"/>
      <c r="O72" s="1"/>
      <c r="P72" s="2"/>
      <c r="Q72" s="2"/>
      <c r="R72" s="2"/>
      <c r="S72" s="2"/>
    </row>
    <row r="73" spans="1:19" ht="15" thickBot="1" x14ac:dyDescent="0.35">
      <c r="A73" t="s">
        <v>4</v>
      </c>
      <c r="B73">
        <v>2017</v>
      </c>
      <c r="C73">
        <v>209</v>
      </c>
      <c r="E73">
        <v>1.8</v>
      </c>
      <c r="F73">
        <v>1.8</v>
      </c>
      <c r="G73" s="1"/>
      <c r="H73" s="2"/>
      <c r="I73" s="2"/>
      <c r="J73" s="2"/>
      <c r="K73" s="2"/>
      <c r="L73" s="2"/>
      <c r="M73" s="2"/>
      <c r="N73" s="2"/>
      <c r="O73" s="2"/>
      <c r="P73" s="2"/>
      <c r="Q73" s="1"/>
      <c r="R73" s="2"/>
      <c r="S73" s="2"/>
    </row>
    <row r="74" spans="1:19" ht="15" thickBot="1" x14ac:dyDescent="0.35">
      <c r="A74" t="s">
        <v>4</v>
      </c>
      <c r="B74">
        <v>2018</v>
      </c>
      <c r="C74">
        <v>275</v>
      </c>
      <c r="E74">
        <v>1.8</v>
      </c>
      <c r="F74">
        <v>1.8</v>
      </c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" hidden="1" thickBot="1" x14ac:dyDescent="0.35">
      <c r="A75" t="s">
        <v>47</v>
      </c>
      <c r="B75">
        <v>2001</v>
      </c>
      <c r="C75">
        <v>171</v>
      </c>
      <c r="D75" t="s">
        <v>55</v>
      </c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" hidden="1" thickBot="1" x14ac:dyDescent="0.35">
      <c r="A76" t="s">
        <v>47</v>
      </c>
      <c r="B76">
        <v>2008</v>
      </c>
      <c r="C76">
        <v>161</v>
      </c>
      <c r="D76" t="s">
        <v>55</v>
      </c>
      <c r="E76">
        <v>16.41</v>
      </c>
      <c r="F76">
        <v>4.97</v>
      </c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" hidden="1" thickBot="1" x14ac:dyDescent="0.35">
      <c r="A77" t="s">
        <v>47</v>
      </c>
      <c r="B77">
        <v>2009</v>
      </c>
      <c r="C77">
        <v>153</v>
      </c>
      <c r="D77" t="s">
        <v>55</v>
      </c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" hidden="1" thickBot="1" x14ac:dyDescent="0.35">
      <c r="A78" t="s">
        <v>47</v>
      </c>
      <c r="B78">
        <v>2010</v>
      </c>
      <c r="C78">
        <v>113</v>
      </c>
      <c r="D78" t="s">
        <v>55</v>
      </c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" hidden="1" thickBot="1" x14ac:dyDescent="0.35">
      <c r="A79" t="s">
        <v>47</v>
      </c>
      <c r="B79">
        <v>2011</v>
      </c>
      <c r="C79">
        <v>106</v>
      </c>
      <c r="D79" t="s">
        <v>55</v>
      </c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" thickBot="1" x14ac:dyDescent="0.35">
      <c r="A80" t="s">
        <v>47</v>
      </c>
      <c r="B80">
        <v>2012</v>
      </c>
      <c r="C80">
        <v>140</v>
      </c>
      <c r="D80" t="s">
        <v>55</v>
      </c>
      <c r="G80" s="4"/>
      <c r="H80" s="7"/>
    </row>
    <row r="81" spans="1:19" ht="15" thickBot="1" x14ac:dyDescent="0.35">
      <c r="A81" t="s">
        <v>47</v>
      </c>
      <c r="B81">
        <v>2013</v>
      </c>
      <c r="C81">
        <v>115</v>
      </c>
      <c r="D81" t="s">
        <v>55</v>
      </c>
      <c r="E81">
        <v>3.65</v>
      </c>
      <c r="F81">
        <v>3.65</v>
      </c>
      <c r="G81" s="1"/>
      <c r="H81" s="2"/>
      <c r="I81" s="2"/>
      <c r="J81" s="1"/>
      <c r="K81" s="1"/>
      <c r="L81" s="2"/>
      <c r="M81" s="2"/>
      <c r="N81" s="2"/>
      <c r="O81" s="2"/>
      <c r="P81" s="1"/>
      <c r="Q81" s="2"/>
      <c r="R81" s="2"/>
      <c r="S81" s="2"/>
    </row>
    <row r="82" spans="1:19" ht="21" thickBot="1" x14ac:dyDescent="0.35">
      <c r="A82" t="s">
        <v>47</v>
      </c>
      <c r="B82">
        <v>2014</v>
      </c>
      <c r="C82">
        <v>143</v>
      </c>
      <c r="D82" t="s">
        <v>55</v>
      </c>
      <c r="E82">
        <v>3.15</v>
      </c>
      <c r="F82">
        <v>4.87</v>
      </c>
      <c r="G82" s="1">
        <v>0.86301369863013699</v>
      </c>
      <c r="H82" s="5">
        <v>25</v>
      </c>
      <c r="I82" s="2"/>
      <c r="J82" s="2" t="s">
        <v>64</v>
      </c>
      <c r="K82" s="2" t="s">
        <v>65</v>
      </c>
      <c r="L82" t="s">
        <v>64</v>
      </c>
      <c r="M82" t="s">
        <v>65</v>
      </c>
      <c r="N82" s="2"/>
      <c r="O82" s="2"/>
      <c r="P82" s="2"/>
      <c r="Q82" s="2"/>
      <c r="R82" s="2"/>
      <c r="S82" s="2"/>
    </row>
    <row r="83" spans="1:19" ht="15" thickBot="1" x14ac:dyDescent="0.35">
      <c r="A83" t="s">
        <v>47</v>
      </c>
      <c r="B83">
        <v>2015</v>
      </c>
      <c r="C83">
        <v>144</v>
      </c>
      <c r="D83" t="s">
        <v>55</v>
      </c>
      <c r="F83">
        <v>4.87</v>
      </c>
      <c r="G83" s="1"/>
      <c r="H83" s="2"/>
      <c r="I83" s="2"/>
      <c r="J83" s="8">
        <f>AVERAGE(C8:C9,C20:C21,C32:C33,C56:C57,C68:C69,C80:C81,C92:C93,C152:C153,C164:C165,C176:C177,C212:C213,C224:C225,C236:C237,C248:C249,C272:C273,C296:C297,C344:C345,C368:C369,C404:C405,C428:C429,C464:C465,C476:C477,C524:C525,C536:C537,C548:C549,C572:C573,C584:C585,C596:C597,C620:C621)</f>
        <v>264.05172413793105</v>
      </c>
      <c r="K83" s="2">
        <f>AVERAGE(C10:C11,C22:C23,C34:C35,C58:C59,C70:C71,C82:C83,C94:C95,C154:C155,C166:C167,C178:C179,C214:C215,C226:C227,C238:C239,C250:C251,C274:C275,C298:C299,C346:C347,C370:C371,C406:C407,C430:C431,C466:C467,C478:C479,C526:C527,C538:C539,C550:C551,C574:C575,C586:C587,C598:C599,C622:C623)</f>
        <v>303.62068965517244</v>
      </c>
      <c r="L83">
        <v>264.05172413793105</v>
      </c>
      <c r="M83">
        <v>303.62068965517244</v>
      </c>
      <c r="N83" s="2"/>
      <c r="O83" s="2"/>
      <c r="P83" s="2"/>
      <c r="Q83" s="2"/>
      <c r="R83" s="2"/>
      <c r="S83" s="2"/>
    </row>
    <row r="84" spans="1:19" ht="15" thickBot="1" x14ac:dyDescent="0.35">
      <c r="A84" t="s">
        <v>47</v>
      </c>
      <c r="B84">
        <v>2016</v>
      </c>
      <c r="C84">
        <v>113</v>
      </c>
      <c r="D84" t="s">
        <v>55</v>
      </c>
      <c r="F84">
        <v>3.75</v>
      </c>
      <c r="G84" s="1"/>
      <c r="H84" s="2"/>
      <c r="I84" s="2"/>
      <c r="J84" s="2"/>
      <c r="K84" s="2"/>
      <c r="L84" s="2"/>
      <c r="M84" s="2"/>
      <c r="N84" s="2"/>
      <c r="O84" s="2"/>
      <c r="P84" s="1"/>
      <c r="Q84" s="2"/>
      <c r="R84" s="2"/>
      <c r="S84" s="2"/>
    </row>
    <row r="85" spans="1:19" ht="15" thickBot="1" x14ac:dyDescent="0.35">
      <c r="A85" t="s">
        <v>47</v>
      </c>
      <c r="B85">
        <v>2017</v>
      </c>
      <c r="C85">
        <v>103</v>
      </c>
      <c r="D85" t="s">
        <v>55</v>
      </c>
      <c r="F85">
        <v>3.65</v>
      </c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" thickBot="1" x14ac:dyDescent="0.35">
      <c r="A86" t="s">
        <v>47</v>
      </c>
      <c r="B86">
        <v>2018</v>
      </c>
      <c r="C86">
        <v>212</v>
      </c>
      <c r="D86" t="s">
        <v>55</v>
      </c>
      <c r="E86">
        <v>3.15</v>
      </c>
      <c r="F86">
        <v>3.65</v>
      </c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" hidden="1" thickBot="1" x14ac:dyDescent="0.35">
      <c r="A87" t="s">
        <v>48</v>
      </c>
      <c r="B87">
        <v>2001</v>
      </c>
      <c r="C87">
        <v>234</v>
      </c>
      <c r="D87" t="s">
        <v>55</v>
      </c>
      <c r="G87" s="1"/>
      <c r="H87" s="2"/>
      <c r="I87" s="2"/>
      <c r="J87" s="1"/>
      <c r="K87" s="1"/>
      <c r="L87" s="2"/>
      <c r="M87" s="2"/>
      <c r="N87" s="2"/>
      <c r="O87" s="2"/>
      <c r="P87" s="2"/>
      <c r="Q87" s="2"/>
      <c r="R87" s="2"/>
      <c r="S87" s="2"/>
    </row>
    <row r="88" spans="1:19" ht="15" hidden="1" thickBot="1" x14ac:dyDescent="0.35">
      <c r="A88" t="s">
        <v>48</v>
      </c>
      <c r="B88">
        <v>2008</v>
      </c>
      <c r="C88">
        <v>216</v>
      </c>
      <c r="D88" t="s">
        <v>55</v>
      </c>
      <c r="E88">
        <v>14.96</v>
      </c>
      <c r="F88">
        <v>5.3</v>
      </c>
      <c r="G88" s="1"/>
      <c r="H88" s="2"/>
      <c r="I88" s="2"/>
      <c r="J88" s="1"/>
      <c r="K88" s="1"/>
      <c r="L88" s="2"/>
      <c r="M88" s="2"/>
      <c r="N88" s="2"/>
      <c r="O88" s="2"/>
      <c r="P88" s="2"/>
      <c r="Q88" s="2"/>
      <c r="R88" s="2"/>
      <c r="S88" s="2"/>
    </row>
    <row r="89" spans="1:19" ht="15" hidden="1" thickBot="1" x14ac:dyDescent="0.35">
      <c r="A89" t="s">
        <v>48</v>
      </c>
      <c r="B89">
        <v>2009</v>
      </c>
      <c r="C89">
        <v>182</v>
      </c>
      <c r="D89" t="s">
        <v>55</v>
      </c>
      <c r="G89" s="1"/>
      <c r="H89" s="2"/>
      <c r="I89" s="2"/>
      <c r="J89" s="1"/>
      <c r="K89" s="1"/>
      <c r="L89" s="2"/>
      <c r="M89" s="2"/>
      <c r="N89" s="2"/>
      <c r="O89" s="1"/>
      <c r="P89" s="2"/>
      <c r="Q89" s="2"/>
      <c r="R89" s="2"/>
      <c r="S89" s="2"/>
    </row>
    <row r="90" spans="1:19" ht="15" hidden="1" thickBot="1" x14ac:dyDescent="0.35">
      <c r="A90" t="s">
        <v>48</v>
      </c>
      <c r="B90">
        <v>2010</v>
      </c>
      <c r="C90">
        <v>361</v>
      </c>
      <c r="D90" t="s">
        <v>55</v>
      </c>
      <c r="G90" s="1"/>
      <c r="H90" s="2"/>
      <c r="I90" s="2"/>
      <c r="J90" s="2"/>
      <c r="K90" s="2"/>
      <c r="L90" s="2"/>
      <c r="M90" s="2"/>
      <c r="N90" s="2"/>
      <c r="O90" s="2"/>
      <c r="P90" s="2"/>
      <c r="Q90" s="1"/>
      <c r="R90" s="2"/>
      <c r="S90" s="2"/>
    </row>
    <row r="91" spans="1:19" ht="15" hidden="1" thickBot="1" x14ac:dyDescent="0.35">
      <c r="A91" t="s">
        <v>48</v>
      </c>
      <c r="B91">
        <v>2011</v>
      </c>
      <c r="C91">
        <v>229</v>
      </c>
      <c r="D91" t="s">
        <v>55</v>
      </c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" thickBot="1" x14ac:dyDescent="0.35">
      <c r="A92" t="s">
        <v>48</v>
      </c>
      <c r="B92">
        <v>2012</v>
      </c>
      <c r="C92">
        <v>149</v>
      </c>
      <c r="D92" t="s">
        <v>55</v>
      </c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" thickBot="1" x14ac:dyDescent="0.35">
      <c r="A93" t="s">
        <v>48</v>
      </c>
      <c r="B93">
        <v>2013</v>
      </c>
      <c r="C93">
        <v>206</v>
      </c>
      <c r="D93" t="s">
        <v>55</v>
      </c>
      <c r="E93">
        <v>10.7</v>
      </c>
      <c r="F93">
        <v>10.7</v>
      </c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" thickBot="1" x14ac:dyDescent="0.35">
      <c r="A94" t="s">
        <v>48</v>
      </c>
      <c r="B94">
        <v>2014</v>
      </c>
      <c r="C94">
        <v>267</v>
      </c>
      <c r="D94" t="s">
        <v>55</v>
      </c>
      <c r="E94">
        <v>3.15</v>
      </c>
      <c r="F94">
        <v>10.7</v>
      </c>
      <c r="G94" s="1">
        <v>0.29439252336448601</v>
      </c>
      <c r="H94" s="2">
        <v>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" thickBot="1" x14ac:dyDescent="0.35">
      <c r="A95" t="s">
        <v>48</v>
      </c>
      <c r="B95">
        <v>2015</v>
      </c>
      <c r="C95">
        <v>264</v>
      </c>
      <c r="D95" t="s">
        <v>55</v>
      </c>
      <c r="F95">
        <v>3.2</v>
      </c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" thickBot="1" x14ac:dyDescent="0.35">
      <c r="A96" t="s">
        <v>48</v>
      </c>
      <c r="B96">
        <v>2016</v>
      </c>
      <c r="C96">
        <v>221</v>
      </c>
      <c r="D96" t="s">
        <v>55</v>
      </c>
      <c r="F96">
        <v>0.75</v>
      </c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" thickBot="1" x14ac:dyDescent="0.35">
      <c r="A97" t="s">
        <v>48</v>
      </c>
      <c r="B97">
        <v>2017</v>
      </c>
      <c r="C97">
        <v>163</v>
      </c>
      <c r="D97" t="s">
        <v>55</v>
      </c>
      <c r="E97">
        <v>0.6</v>
      </c>
      <c r="F97">
        <v>0.6</v>
      </c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" thickBot="1" x14ac:dyDescent="0.35">
      <c r="A98" t="s">
        <v>48</v>
      </c>
      <c r="B98">
        <v>2018</v>
      </c>
      <c r="C98">
        <v>287</v>
      </c>
      <c r="D98" t="s">
        <v>55</v>
      </c>
      <c r="E98">
        <v>0.6</v>
      </c>
      <c r="F98">
        <v>0.6</v>
      </c>
      <c r="G98" s="1"/>
      <c r="H98" s="2"/>
      <c r="I98" s="2"/>
      <c r="J98" s="2"/>
      <c r="K98" s="2"/>
      <c r="L98" s="2"/>
      <c r="M98" s="2"/>
      <c r="N98" s="2"/>
      <c r="O98" s="2"/>
      <c r="P98" s="2"/>
      <c r="Q98" s="1"/>
      <c r="R98" s="2"/>
      <c r="S98" s="2"/>
    </row>
    <row r="99" spans="1:19" ht="15" hidden="1" thickBot="1" x14ac:dyDescent="0.35">
      <c r="A99" t="s">
        <v>57</v>
      </c>
      <c r="B99">
        <v>2001</v>
      </c>
      <c r="C99">
        <v>220</v>
      </c>
      <c r="D99" t="s">
        <v>59</v>
      </c>
      <c r="G99" s="5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" hidden="1" thickBot="1" x14ac:dyDescent="0.35">
      <c r="A100" t="s">
        <v>57</v>
      </c>
      <c r="B100">
        <v>2008</v>
      </c>
      <c r="C100">
        <v>241</v>
      </c>
      <c r="D100" t="s">
        <v>59</v>
      </c>
      <c r="G100" s="5"/>
      <c r="H100" s="5"/>
      <c r="I100" s="2"/>
      <c r="J100" s="1"/>
      <c r="K100" s="1"/>
      <c r="L100" s="2"/>
      <c r="M100" s="2"/>
      <c r="N100" s="2"/>
      <c r="O100" s="2"/>
      <c r="P100" s="2"/>
      <c r="Q100" s="2"/>
      <c r="R100" s="2"/>
      <c r="S100" s="2"/>
    </row>
    <row r="101" spans="1:19" ht="15" hidden="1" thickBot="1" x14ac:dyDescent="0.35">
      <c r="A101" t="s">
        <v>57</v>
      </c>
      <c r="B101">
        <v>2009</v>
      </c>
      <c r="C101">
        <v>220</v>
      </c>
      <c r="D101" t="s">
        <v>59</v>
      </c>
      <c r="G101" s="5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" hidden="1" thickBot="1" x14ac:dyDescent="0.35">
      <c r="A102" t="s">
        <v>57</v>
      </c>
      <c r="B102">
        <v>2010</v>
      </c>
      <c r="C102">
        <v>224</v>
      </c>
      <c r="D102" t="s">
        <v>59</v>
      </c>
      <c r="G102" s="5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" hidden="1" thickBot="1" x14ac:dyDescent="0.35">
      <c r="A103" t="s">
        <v>57</v>
      </c>
      <c r="B103">
        <v>2011</v>
      </c>
      <c r="C103">
        <v>220</v>
      </c>
      <c r="D103" t="s">
        <v>59</v>
      </c>
      <c r="G103" s="5"/>
      <c r="H103" s="5"/>
      <c r="I103" s="2"/>
      <c r="J103" s="2"/>
      <c r="K103" s="2"/>
      <c r="L103" s="2"/>
      <c r="M103" s="2"/>
      <c r="N103" s="2"/>
      <c r="O103" s="1"/>
      <c r="P103" s="2"/>
      <c r="Q103" s="2"/>
      <c r="R103" s="2"/>
      <c r="S103" s="2"/>
    </row>
    <row r="104" spans="1:19" ht="15" thickBot="1" x14ac:dyDescent="0.35">
      <c r="A104" t="s">
        <v>57</v>
      </c>
      <c r="B104">
        <v>2012</v>
      </c>
      <c r="C104">
        <v>198</v>
      </c>
      <c r="D104" t="s">
        <v>59</v>
      </c>
      <c r="G104" s="5"/>
      <c r="H104" s="5"/>
      <c r="I104" s="2"/>
      <c r="J104" s="2"/>
      <c r="K104" s="2"/>
      <c r="L104" s="2"/>
      <c r="M104" s="2"/>
      <c r="N104" s="2"/>
      <c r="O104" s="2"/>
      <c r="P104" s="2"/>
      <c r="Q104" s="1"/>
      <c r="R104" s="2"/>
      <c r="S104" s="2"/>
    </row>
    <row r="105" spans="1:19" ht="15" thickBot="1" x14ac:dyDescent="0.35">
      <c r="A105" t="s">
        <v>57</v>
      </c>
      <c r="B105">
        <v>2013</v>
      </c>
      <c r="C105">
        <v>230</v>
      </c>
      <c r="D105" t="s">
        <v>59</v>
      </c>
      <c r="G105" s="5"/>
      <c r="H105" s="5"/>
      <c r="I105" s="2"/>
      <c r="J105" s="2"/>
      <c r="K105" s="2"/>
      <c r="L105" s="2"/>
      <c r="M105" s="2"/>
      <c r="N105" s="2"/>
      <c r="O105" s="2"/>
      <c r="P105" s="2"/>
      <c r="Q105" s="1"/>
      <c r="R105" s="2"/>
      <c r="S105" s="2"/>
    </row>
    <row r="106" spans="1:19" ht="15" thickBot="1" x14ac:dyDescent="0.35">
      <c r="A106" t="s">
        <v>57</v>
      </c>
      <c r="B106">
        <v>2014</v>
      </c>
      <c r="C106">
        <v>262</v>
      </c>
      <c r="D106" t="s">
        <v>59</v>
      </c>
      <c r="G106" s="5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" thickBot="1" x14ac:dyDescent="0.35">
      <c r="A107" t="s">
        <v>57</v>
      </c>
      <c r="B107">
        <v>2015</v>
      </c>
      <c r="C107">
        <v>283</v>
      </c>
      <c r="D107" t="s">
        <v>59</v>
      </c>
      <c r="G107" s="5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" thickBot="1" x14ac:dyDescent="0.35">
      <c r="A108" t="s">
        <v>57</v>
      </c>
      <c r="B108">
        <v>2016</v>
      </c>
      <c r="C108">
        <v>252</v>
      </c>
      <c r="D108" t="s">
        <v>59</v>
      </c>
      <c r="G108" s="5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" thickBot="1" x14ac:dyDescent="0.35">
      <c r="A109" t="s">
        <v>57</v>
      </c>
      <c r="B109">
        <v>2017</v>
      </c>
      <c r="C109">
        <v>246</v>
      </c>
      <c r="D109" t="s">
        <v>59</v>
      </c>
      <c r="G109" s="5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" thickBot="1" x14ac:dyDescent="0.35">
      <c r="A110" t="s">
        <v>57</v>
      </c>
      <c r="B110">
        <v>2018</v>
      </c>
      <c r="C110">
        <v>250</v>
      </c>
      <c r="D110" t="s">
        <v>59</v>
      </c>
      <c r="G110" s="5"/>
      <c r="H110" s="5"/>
      <c r="I110" s="2"/>
      <c r="J110" s="2"/>
      <c r="K110" s="2"/>
      <c r="L110" s="2"/>
      <c r="M110" s="2"/>
      <c r="N110" s="2"/>
      <c r="O110" s="2"/>
      <c r="P110" s="2"/>
      <c r="Q110" s="1"/>
      <c r="R110" s="2"/>
      <c r="S110" s="2"/>
    </row>
    <row r="111" spans="1:19" ht="15" hidden="1" thickBot="1" x14ac:dyDescent="0.35">
      <c r="A111" t="s">
        <v>5</v>
      </c>
      <c r="B111">
        <v>2001</v>
      </c>
      <c r="C111">
        <v>251</v>
      </c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" hidden="1" thickBot="1" x14ac:dyDescent="0.35">
      <c r="A112" t="s">
        <v>5</v>
      </c>
      <c r="B112">
        <v>2008</v>
      </c>
      <c r="C112">
        <v>291</v>
      </c>
      <c r="E112">
        <v>1.76</v>
      </c>
      <c r="F112">
        <v>1.76</v>
      </c>
      <c r="G112" s="1"/>
      <c r="H112" s="2"/>
      <c r="I112" s="2"/>
      <c r="J112" s="2"/>
      <c r="K112" s="2"/>
      <c r="L112" s="2"/>
      <c r="M112" s="2"/>
      <c r="N112" s="2"/>
      <c r="O112" s="2"/>
      <c r="P112" s="1"/>
      <c r="Q112" s="2"/>
      <c r="R112" s="2"/>
      <c r="S112" s="2"/>
    </row>
    <row r="113" spans="1:19" ht="15" hidden="1" thickBot="1" x14ac:dyDescent="0.35">
      <c r="A113" t="s">
        <v>5</v>
      </c>
      <c r="B113">
        <v>2009</v>
      </c>
      <c r="C113">
        <v>274</v>
      </c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1"/>
      <c r="R113" s="2"/>
      <c r="S113" s="2"/>
    </row>
    <row r="114" spans="1:19" ht="15" hidden="1" thickBot="1" x14ac:dyDescent="0.35">
      <c r="A114" t="s">
        <v>5</v>
      </c>
      <c r="B114">
        <v>2010</v>
      </c>
      <c r="C114">
        <v>269</v>
      </c>
      <c r="G114" s="1"/>
      <c r="H114" s="2"/>
      <c r="I114" s="2"/>
      <c r="J114" s="2"/>
      <c r="K114" s="2"/>
      <c r="L114" s="2"/>
      <c r="M114" s="2"/>
      <c r="N114" s="2"/>
      <c r="O114" s="1"/>
      <c r="P114" s="2"/>
      <c r="Q114" s="1"/>
      <c r="R114" s="2"/>
      <c r="S114" s="2"/>
    </row>
    <row r="115" spans="1:19" ht="15" hidden="1" thickBot="1" x14ac:dyDescent="0.35">
      <c r="A115" t="s">
        <v>5</v>
      </c>
      <c r="B115">
        <v>2011</v>
      </c>
      <c r="C115">
        <v>294</v>
      </c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1"/>
      <c r="R115" s="2"/>
      <c r="S115" s="2"/>
    </row>
    <row r="116" spans="1:19" ht="15" thickBot="1" x14ac:dyDescent="0.35">
      <c r="A116" t="s">
        <v>5</v>
      </c>
      <c r="B116">
        <v>2012</v>
      </c>
      <c r="C116">
        <v>325</v>
      </c>
      <c r="G116" s="5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" thickBot="1" x14ac:dyDescent="0.35">
      <c r="A117" t="s">
        <v>5</v>
      </c>
      <c r="B117">
        <v>2013</v>
      </c>
      <c r="C117">
        <v>302</v>
      </c>
      <c r="E117">
        <v>1.92</v>
      </c>
      <c r="F117">
        <v>1.92</v>
      </c>
      <c r="G117" s="5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" thickBot="1" x14ac:dyDescent="0.35">
      <c r="A118" t="s">
        <v>5</v>
      </c>
      <c r="B118">
        <v>2014</v>
      </c>
      <c r="C118">
        <v>343</v>
      </c>
      <c r="E118">
        <v>2.1</v>
      </c>
      <c r="F118">
        <v>2.1</v>
      </c>
      <c r="G118" s="5">
        <v>1.09375</v>
      </c>
      <c r="H118" s="5">
        <v>38</v>
      </c>
      <c r="I118" s="2"/>
      <c r="J118" s="2"/>
      <c r="K118" s="2"/>
      <c r="L118" s="2"/>
      <c r="M118" s="2"/>
      <c r="N118" s="2"/>
      <c r="O118" s="2"/>
      <c r="P118" s="2"/>
      <c r="Q118" s="1"/>
      <c r="R118" s="2"/>
      <c r="S118" s="2"/>
    </row>
    <row r="119" spans="1:19" ht="15" thickBot="1" x14ac:dyDescent="0.35">
      <c r="A119" t="s">
        <v>5</v>
      </c>
      <c r="B119">
        <v>2015</v>
      </c>
      <c r="C119">
        <v>356</v>
      </c>
      <c r="F119">
        <v>2.1</v>
      </c>
      <c r="G119" s="5"/>
      <c r="H119" s="5"/>
      <c r="I119" s="2"/>
      <c r="J119" s="2"/>
      <c r="K119" s="2"/>
      <c r="L119" s="2"/>
      <c r="M119" s="2"/>
      <c r="N119" s="2"/>
      <c r="O119" s="2"/>
      <c r="P119" s="2"/>
      <c r="Q119" s="1"/>
      <c r="R119" s="2"/>
      <c r="S119" s="2"/>
    </row>
    <row r="120" spans="1:19" ht="15" thickBot="1" x14ac:dyDescent="0.35">
      <c r="A120" t="s">
        <v>5</v>
      </c>
      <c r="B120">
        <v>2016</v>
      </c>
      <c r="C120">
        <v>363</v>
      </c>
      <c r="F120">
        <v>2.1</v>
      </c>
      <c r="G120" s="5"/>
      <c r="H120" s="5"/>
      <c r="I120" s="2"/>
      <c r="J120" s="2"/>
      <c r="K120" s="2"/>
      <c r="L120" s="2"/>
      <c r="M120" s="2"/>
      <c r="N120" s="2"/>
      <c r="O120" s="2"/>
      <c r="P120" s="2"/>
      <c r="Q120" s="1"/>
      <c r="R120" s="2"/>
      <c r="S120" s="2"/>
    </row>
    <row r="121" spans="1:19" ht="15" thickBot="1" x14ac:dyDescent="0.35">
      <c r="A121" t="s">
        <v>5</v>
      </c>
      <c r="B121">
        <v>2017</v>
      </c>
      <c r="C121">
        <v>443</v>
      </c>
      <c r="E121">
        <v>2.1</v>
      </c>
      <c r="F121">
        <v>2.1</v>
      </c>
      <c r="G121" s="5"/>
      <c r="H121" s="5"/>
      <c r="I121" s="2"/>
      <c r="J121" s="2"/>
      <c r="K121" s="2"/>
      <c r="L121" s="2"/>
      <c r="M121" s="2"/>
      <c r="N121" s="2"/>
      <c r="O121" s="2"/>
      <c r="P121" s="2"/>
      <c r="Q121" s="1"/>
      <c r="R121" s="2"/>
      <c r="S121" s="2"/>
    </row>
    <row r="122" spans="1:19" ht="15" thickBot="1" x14ac:dyDescent="0.35">
      <c r="A122" t="s">
        <v>5</v>
      </c>
      <c r="B122">
        <v>2018</v>
      </c>
      <c r="C122">
        <v>460</v>
      </c>
      <c r="E122">
        <v>2.1</v>
      </c>
      <c r="F122">
        <v>2.1</v>
      </c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1"/>
      <c r="R122" s="2"/>
      <c r="S122" s="2"/>
    </row>
    <row r="123" spans="1:19" ht="15" hidden="1" thickBot="1" x14ac:dyDescent="0.35">
      <c r="A123" t="s">
        <v>6</v>
      </c>
      <c r="B123">
        <v>2001</v>
      </c>
      <c r="C123">
        <v>202</v>
      </c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" hidden="1" thickBot="1" x14ac:dyDescent="0.35">
      <c r="A124" t="s">
        <v>6</v>
      </c>
      <c r="B124">
        <v>2008</v>
      </c>
      <c r="C124">
        <v>243</v>
      </c>
      <c r="E124">
        <v>16.41</v>
      </c>
      <c r="F124">
        <v>4.66</v>
      </c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" hidden="1" thickBot="1" x14ac:dyDescent="0.35">
      <c r="A125" t="s">
        <v>6</v>
      </c>
      <c r="B125">
        <v>2009</v>
      </c>
      <c r="C125">
        <v>233</v>
      </c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" hidden="1" thickBot="1" x14ac:dyDescent="0.35">
      <c r="A126" t="s">
        <v>6</v>
      </c>
      <c r="B126">
        <v>2010</v>
      </c>
      <c r="C126">
        <v>212</v>
      </c>
      <c r="G126" s="5"/>
      <c r="H126" s="5"/>
      <c r="I126" s="2"/>
      <c r="J126" s="2"/>
      <c r="K126" s="2"/>
      <c r="L126" s="2"/>
      <c r="M126" s="2"/>
      <c r="N126" s="2"/>
      <c r="O126" s="2"/>
      <c r="P126" s="2"/>
      <c r="Q126" s="1"/>
      <c r="R126" s="2"/>
      <c r="S126" s="2"/>
    </row>
    <row r="127" spans="1:19" ht="15" hidden="1" thickBot="1" x14ac:dyDescent="0.35">
      <c r="A127" t="s">
        <v>6</v>
      </c>
      <c r="B127">
        <v>2011</v>
      </c>
      <c r="C127">
        <v>229</v>
      </c>
      <c r="G127" s="5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3">
      <c r="A128" t="s">
        <v>6</v>
      </c>
      <c r="B128">
        <v>2012</v>
      </c>
      <c r="C128">
        <v>187</v>
      </c>
    </row>
    <row r="129" spans="1:8" x14ac:dyDescent="0.3">
      <c r="A129" t="s">
        <v>6</v>
      </c>
      <c r="B129">
        <v>2013</v>
      </c>
      <c r="C129">
        <v>227</v>
      </c>
    </row>
    <row r="130" spans="1:8" x14ac:dyDescent="0.3">
      <c r="A130" t="s">
        <v>6</v>
      </c>
      <c r="B130">
        <v>2014</v>
      </c>
      <c r="C130">
        <v>230</v>
      </c>
      <c r="E130">
        <v>3.15</v>
      </c>
      <c r="F130">
        <v>4.8499999999999996</v>
      </c>
    </row>
    <row r="131" spans="1:8" x14ac:dyDescent="0.3">
      <c r="A131" t="s">
        <v>6</v>
      </c>
      <c r="B131">
        <v>2015</v>
      </c>
      <c r="C131">
        <v>252</v>
      </c>
      <c r="F131">
        <v>4.8499999999999996</v>
      </c>
    </row>
    <row r="132" spans="1:8" x14ac:dyDescent="0.3">
      <c r="A132" t="s">
        <v>6</v>
      </c>
      <c r="B132">
        <v>2016</v>
      </c>
      <c r="C132">
        <v>249</v>
      </c>
      <c r="F132">
        <v>2.5499999999999998</v>
      </c>
    </row>
    <row r="133" spans="1:8" x14ac:dyDescent="0.3">
      <c r="A133" t="s">
        <v>6</v>
      </c>
      <c r="B133">
        <v>2017</v>
      </c>
      <c r="C133">
        <v>323</v>
      </c>
      <c r="E133">
        <v>3.15</v>
      </c>
      <c r="F133">
        <v>2.4</v>
      </c>
    </row>
    <row r="134" spans="1:8" x14ac:dyDescent="0.3">
      <c r="A134" t="s">
        <v>6</v>
      </c>
      <c r="B134">
        <v>2018</v>
      </c>
      <c r="C134">
        <v>306</v>
      </c>
      <c r="E134">
        <v>3.15</v>
      </c>
      <c r="F134">
        <v>2.4</v>
      </c>
    </row>
    <row r="135" spans="1:8" hidden="1" x14ac:dyDescent="0.3">
      <c r="A135" t="s">
        <v>49</v>
      </c>
      <c r="B135">
        <v>2001</v>
      </c>
      <c r="C135">
        <v>137</v>
      </c>
      <c r="D135" t="s">
        <v>55</v>
      </c>
    </row>
    <row r="136" spans="1:8" hidden="1" x14ac:dyDescent="0.3">
      <c r="A136" t="s">
        <v>49</v>
      </c>
      <c r="B136">
        <v>2008</v>
      </c>
      <c r="C136">
        <v>257</v>
      </c>
      <c r="D136" t="s">
        <v>55</v>
      </c>
      <c r="F136">
        <v>3.41</v>
      </c>
      <c r="G136" s="6"/>
      <c r="H136" s="6"/>
    </row>
    <row r="137" spans="1:8" hidden="1" x14ac:dyDescent="0.3">
      <c r="A137" t="s">
        <v>49</v>
      </c>
      <c r="B137">
        <v>2009</v>
      </c>
      <c r="C137">
        <v>227</v>
      </c>
      <c r="D137" t="s">
        <v>55</v>
      </c>
      <c r="G137" s="6"/>
      <c r="H137" s="6"/>
    </row>
    <row r="138" spans="1:8" hidden="1" x14ac:dyDescent="0.3">
      <c r="A138" t="s">
        <v>49</v>
      </c>
      <c r="B138">
        <v>2010</v>
      </c>
      <c r="C138">
        <v>227</v>
      </c>
      <c r="D138" t="s">
        <v>55</v>
      </c>
    </row>
    <row r="139" spans="1:8" hidden="1" x14ac:dyDescent="0.3">
      <c r="A139" t="s">
        <v>49</v>
      </c>
      <c r="B139">
        <v>2011</v>
      </c>
      <c r="C139">
        <v>110</v>
      </c>
      <c r="D139" t="s">
        <v>55</v>
      </c>
    </row>
    <row r="140" spans="1:8" x14ac:dyDescent="0.3">
      <c r="A140" t="s">
        <v>49</v>
      </c>
      <c r="B140">
        <v>2012</v>
      </c>
      <c r="C140">
        <v>227</v>
      </c>
      <c r="D140" t="s">
        <v>55</v>
      </c>
    </row>
    <row r="141" spans="1:8" x14ac:dyDescent="0.3">
      <c r="A141" t="s">
        <v>49</v>
      </c>
      <c r="B141">
        <v>2013</v>
      </c>
      <c r="C141">
        <v>271</v>
      </c>
      <c r="D141" t="s">
        <v>55</v>
      </c>
    </row>
    <row r="142" spans="1:8" x14ac:dyDescent="0.3">
      <c r="A142" t="s">
        <v>49</v>
      </c>
      <c r="B142">
        <v>2014</v>
      </c>
      <c r="C142">
        <v>148</v>
      </c>
      <c r="D142" t="s">
        <v>55</v>
      </c>
      <c r="E142">
        <v>3.15</v>
      </c>
      <c r="F142">
        <v>3.18</v>
      </c>
    </row>
    <row r="143" spans="1:8" x14ac:dyDescent="0.3">
      <c r="A143" t="s">
        <v>49</v>
      </c>
      <c r="B143">
        <v>2015</v>
      </c>
      <c r="C143">
        <v>74</v>
      </c>
      <c r="D143" t="s">
        <v>55</v>
      </c>
      <c r="F143">
        <v>3.18</v>
      </c>
    </row>
    <row r="144" spans="1:8" x14ac:dyDescent="0.3">
      <c r="A144" t="s">
        <v>49</v>
      </c>
      <c r="B144">
        <v>2016</v>
      </c>
      <c r="C144">
        <v>174</v>
      </c>
      <c r="D144" t="s">
        <v>55</v>
      </c>
      <c r="F144">
        <v>1.95</v>
      </c>
    </row>
    <row r="145" spans="1:8" x14ac:dyDescent="0.3">
      <c r="A145" t="s">
        <v>49</v>
      </c>
      <c r="B145">
        <v>2017</v>
      </c>
      <c r="C145">
        <v>78</v>
      </c>
      <c r="D145" t="s">
        <v>55</v>
      </c>
      <c r="E145">
        <v>3.15</v>
      </c>
      <c r="F145">
        <v>1.95</v>
      </c>
    </row>
    <row r="146" spans="1:8" x14ac:dyDescent="0.3">
      <c r="A146" t="s">
        <v>49</v>
      </c>
      <c r="B146">
        <v>2018</v>
      </c>
      <c r="C146">
        <v>120</v>
      </c>
      <c r="D146" t="s">
        <v>55</v>
      </c>
      <c r="E146">
        <v>3</v>
      </c>
      <c r="F146">
        <v>1.95</v>
      </c>
    </row>
    <row r="147" spans="1:8" hidden="1" x14ac:dyDescent="0.3">
      <c r="A147" t="s">
        <v>7</v>
      </c>
      <c r="B147">
        <v>2001</v>
      </c>
      <c r="C147">
        <v>323</v>
      </c>
    </row>
    <row r="148" spans="1:8" hidden="1" x14ac:dyDescent="0.3">
      <c r="A148" t="s">
        <v>7</v>
      </c>
      <c r="B148">
        <v>2008</v>
      </c>
      <c r="C148">
        <v>256</v>
      </c>
      <c r="E148">
        <v>15</v>
      </c>
      <c r="F148">
        <v>3.8</v>
      </c>
      <c r="G148" s="6"/>
      <c r="H148" s="6"/>
    </row>
    <row r="149" spans="1:8" hidden="1" x14ac:dyDescent="0.3">
      <c r="A149" t="s">
        <v>7</v>
      </c>
      <c r="B149">
        <v>2009</v>
      </c>
      <c r="C149">
        <v>181</v>
      </c>
      <c r="G149" s="6"/>
      <c r="H149" s="6"/>
    </row>
    <row r="150" spans="1:8" hidden="1" x14ac:dyDescent="0.3">
      <c r="A150" t="s">
        <v>7</v>
      </c>
      <c r="B150">
        <v>2010</v>
      </c>
      <c r="C150">
        <v>180</v>
      </c>
    </row>
    <row r="151" spans="1:8" hidden="1" x14ac:dyDescent="0.3">
      <c r="A151" t="s">
        <v>7</v>
      </c>
      <c r="B151">
        <v>2011</v>
      </c>
      <c r="C151">
        <v>174</v>
      </c>
    </row>
    <row r="152" spans="1:8" x14ac:dyDescent="0.3">
      <c r="A152" t="s">
        <v>7</v>
      </c>
      <c r="B152">
        <v>2012</v>
      </c>
      <c r="C152">
        <v>117</v>
      </c>
    </row>
    <row r="153" spans="1:8" x14ac:dyDescent="0.3">
      <c r="A153" t="s">
        <v>7</v>
      </c>
      <c r="B153">
        <v>2013</v>
      </c>
      <c r="C153">
        <v>139</v>
      </c>
      <c r="E153">
        <v>15.6</v>
      </c>
      <c r="F153">
        <v>3.6</v>
      </c>
    </row>
    <row r="154" spans="1:8" x14ac:dyDescent="0.3">
      <c r="A154" t="s">
        <v>7</v>
      </c>
      <c r="B154">
        <v>2014</v>
      </c>
      <c r="C154">
        <v>307</v>
      </c>
      <c r="E154">
        <v>3.15</v>
      </c>
      <c r="F154">
        <v>3.8</v>
      </c>
      <c r="G154">
        <v>0.20192307692307693</v>
      </c>
      <c r="H154">
        <v>4</v>
      </c>
    </row>
    <row r="155" spans="1:8" x14ac:dyDescent="0.3">
      <c r="A155" t="s">
        <v>7</v>
      </c>
      <c r="B155">
        <v>2015</v>
      </c>
      <c r="C155">
        <v>249</v>
      </c>
      <c r="F155">
        <v>3.8</v>
      </c>
    </row>
    <row r="156" spans="1:8" x14ac:dyDescent="0.3">
      <c r="A156" t="s">
        <v>7</v>
      </c>
      <c r="B156">
        <v>2016</v>
      </c>
      <c r="C156">
        <v>222</v>
      </c>
      <c r="F156">
        <v>1.65</v>
      </c>
    </row>
    <row r="157" spans="1:8" x14ac:dyDescent="0.3">
      <c r="A157" t="s">
        <v>7</v>
      </c>
      <c r="B157">
        <v>2017</v>
      </c>
      <c r="C157">
        <v>196</v>
      </c>
      <c r="E157">
        <v>1.65</v>
      </c>
    </row>
    <row r="158" spans="1:8" x14ac:dyDescent="0.3">
      <c r="A158" t="s">
        <v>7</v>
      </c>
      <c r="B158">
        <v>2018</v>
      </c>
      <c r="C158">
        <v>273</v>
      </c>
      <c r="E158">
        <v>1.65</v>
      </c>
      <c r="F158">
        <v>1.65</v>
      </c>
    </row>
    <row r="159" spans="1:8" hidden="1" x14ac:dyDescent="0.3">
      <c r="A159" t="s">
        <v>8</v>
      </c>
      <c r="B159">
        <v>2001</v>
      </c>
      <c r="C159">
        <v>194</v>
      </c>
    </row>
    <row r="160" spans="1:8" hidden="1" x14ac:dyDescent="0.3">
      <c r="A160" t="s">
        <v>8</v>
      </c>
      <c r="B160">
        <v>2008</v>
      </c>
      <c r="C160">
        <v>156</v>
      </c>
      <c r="E160">
        <v>16.41</v>
      </c>
      <c r="F160">
        <v>6.14</v>
      </c>
      <c r="G160" s="6"/>
      <c r="H160" s="6"/>
    </row>
    <row r="161" spans="1:8" hidden="1" x14ac:dyDescent="0.3">
      <c r="A161" t="s">
        <v>8</v>
      </c>
      <c r="B161">
        <v>2009</v>
      </c>
      <c r="C161">
        <v>166</v>
      </c>
      <c r="G161" s="6"/>
      <c r="H161" s="6"/>
    </row>
    <row r="162" spans="1:8" hidden="1" x14ac:dyDescent="0.3">
      <c r="A162" t="s">
        <v>8</v>
      </c>
      <c r="B162">
        <v>2010</v>
      </c>
      <c r="C162">
        <v>194</v>
      </c>
    </row>
    <row r="163" spans="1:8" hidden="1" x14ac:dyDescent="0.3">
      <c r="A163" t="s">
        <v>8</v>
      </c>
      <c r="B163">
        <v>2011</v>
      </c>
      <c r="C163">
        <v>200</v>
      </c>
    </row>
    <row r="164" spans="1:8" x14ac:dyDescent="0.3">
      <c r="A164" t="s">
        <v>8</v>
      </c>
      <c r="B164">
        <v>2012</v>
      </c>
      <c r="C164">
        <v>172</v>
      </c>
    </row>
    <row r="165" spans="1:8" x14ac:dyDescent="0.3">
      <c r="A165" t="s">
        <v>8</v>
      </c>
      <c r="B165">
        <v>2013</v>
      </c>
      <c r="C165">
        <v>160</v>
      </c>
      <c r="E165">
        <v>3.55</v>
      </c>
      <c r="F165">
        <v>3.55</v>
      </c>
    </row>
    <row r="166" spans="1:8" x14ac:dyDescent="0.3">
      <c r="A166" t="s">
        <v>8</v>
      </c>
      <c r="B166">
        <v>2014</v>
      </c>
      <c r="C166">
        <v>182</v>
      </c>
      <c r="E166">
        <v>3.15</v>
      </c>
      <c r="F166">
        <v>3.55</v>
      </c>
      <c r="G166">
        <v>0.88732394366197187</v>
      </c>
      <c r="H166">
        <v>27</v>
      </c>
    </row>
    <row r="167" spans="1:8" x14ac:dyDescent="0.3">
      <c r="A167" t="s">
        <v>8</v>
      </c>
      <c r="B167">
        <v>2015</v>
      </c>
      <c r="C167">
        <v>260</v>
      </c>
      <c r="F167">
        <v>3.55</v>
      </c>
    </row>
    <row r="168" spans="1:8" x14ac:dyDescent="0.3">
      <c r="A168" t="s">
        <v>8</v>
      </c>
      <c r="B168">
        <v>2016</v>
      </c>
      <c r="C168">
        <v>206</v>
      </c>
      <c r="F168">
        <v>3.63</v>
      </c>
    </row>
    <row r="169" spans="1:8" x14ac:dyDescent="0.3">
      <c r="A169" t="s">
        <v>8</v>
      </c>
      <c r="B169">
        <v>2017</v>
      </c>
      <c r="C169">
        <v>253</v>
      </c>
      <c r="E169">
        <v>3.55</v>
      </c>
      <c r="F169">
        <v>1.05</v>
      </c>
    </row>
    <row r="170" spans="1:8" x14ac:dyDescent="0.3">
      <c r="A170" t="s">
        <v>8</v>
      </c>
      <c r="B170">
        <v>2018</v>
      </c>
      <c r="C170">
        <v>208</v>
      </c>
      <c r="E170">
        <v>0.14000000000000001</v>
      </c>
      <c r="F170">
        <v>0.14000000000000001</v>
      </c>
    </row>
    <row r="171" spans="1:8" hidden="1" x14ac:dyDescent="0.3">
      <c r="A171" t="s">
        <v>9</v>
      </c>
      <c r="B171">
        <v>2001</v>
      </c>
      <c r="C171">
        <v>234</v>
      </c>
    </row>
    <row r="172" spans="1:8" hidden="1" x14ac:dyDescent="0.3">
      <c r="A172" t="s">
        <v>9</v>
      </c>
      <c r="B172">
        <v>2008</v>
      </c>
      <c r="C172">
        <v>265</v>
      </c>
      <c r="E172">
        <v>5</v>
      </c>
      <c r="F172">
        <v>6.45</v>
      </c>
      <c r="G172" s="6"/>
      <c r="H172" s="6"/>
    </row>
    <row r="173" spans="1:8" hidden="1" x14ac:dyDescent="0.3">
      <c r="A173" t="s">
        <v>9</v>
      </c>
      <c r="B173">
        <v>2009</v>
      </c>
      <c r="C173">
        <v>340</v>
      </c>
      <c r="G173" s="6"/>
      <c r="H173" s="6"/>
    </row>
    <row r="174" spans="1:8" hidden="1" x14ac:dyDescent="0.3">
      <c r="A174" t="s">
        <v>9</v>
      </c>
      <c r="B174">
        <v>2010</v>
      </c>
      <c r="C174">
        <v>253</v>
      </c>
    </row>
    <row r="175" spans="1:8" hidden="1" x14ac:dyDescent="0.3">
      <c r="A175" t="s">
        <v>9</v>
      </c>
      <c r="B175">
        <v>2011</v>
      </c>
      <c r="C175">
        <v>270</v>
      </c>
    </row>
    <row r="176" spans="1:8" x14ac:dyDescent="0.3">
      <c r="A176" t="s">
        <v>9</v>
      </c>
      <c r="B176">
        <v>2012</v>
      </c>
      <c r="C176">
        <v>210</v>
      </c>
    </row>
    <row r="177" spans="1:8" x14ac:dyDescent="0.3">
      <c r="A177" t="s">
        <v>9</v>
      </c>
      <c r="B177">
        <v>2013</v>
      </c>
      <c r="C177">
        <v>232</v>
      </c>
      <c r="E177">
        <v>3.6</v>
      </c>
      <c r="F177">
        <v>3.6</v>
      </c>
    </row>
    <row r="178" spans="1:8" x14ac:dyDescent="0.3">
      <c r="A178" t="s">
        <v>9</v>
      </c>
      <c r="B178">
        <v>2014</v>
      </c>
      <c r="C178">
        <v>215</v>
      </c>
      <c r="E178">
        <v>3.15</v>
      </c>
      <c r="F178">
        <v>3.6</v>
      </c>
      <c r="G178">
        <v>0.875</v>
      </c>
      <c r="H178">
        <v>26</v>
      </c>
    </row>
    <row r="179" spans="1:8" x14ac:dyDescent="0.3">
      <c r="A179" t="s">
        <v>9</v>
      </c>
      <c r="B179">
        <v>2015</v>
      </c>
      <c r="C179">
        <v>320</v>
      </c>
      <c r="F179">
        <v>3.6</v>
      </c>
    </row>
    <row r="180" spans="1:8" x14ac:dyDescent="0.3">
      <c r="A180" t="s">
        <v>9</v>
      </c>
      <c r="B180">
        <v>2016</v>
      </c>
      <c r="C180">
        <v>278</v>
      </c>
      <c r="F180">
        <v>3.6</v>
      </c>
    </row>
    <row r="181" spans="1:8" x14ac:dyDescent="0.3">
      <c r="A181" t="s">
        <v>9</v>
      </c>
      <c r="B181">
        <v>2017</v>
      </c>
      <c r="C181">
        <v>264</v>
      </c>
      <c r="E181">
        <v>3.6</v>
      </c>
      <c r="F181">
        <v>3.15</v>
      </c>
    </row>
    <row r="182" spans="1:8" x14ac:dyDescent="0.3">
      <c r="A182" t="s">
        <v>9</v>
      </c>
      <c r="B182">
        <v>2018</v>
      </c>
      <c r="C182">
        <v>252</v>
      </c>
      <c r="E182">
        <v>3.15</v>
      </c>
      <c r="F182">
        <v>3.6</v>
      </c>
    </row>
    <row r="183" spans="1:8" hidden="1" x14ac:dyDescent="0.3">
      <c r="A183" t="s">
        <v>10</v>
      </c>
      <c r="B183">
        <v>2001</v>
      </c>
      <c r="C183">
        <v>113</v>
      </c>
    </row>
    <row r="184" spans="1:8" hidden="1" x14ac:dyDescent="0.3">
      <c r="A184" t="s">
        <v>10</v>
      </c>
      <c r="B184">
        <v>2008</v>
      </c>
      <c r="C184">
        <v>241</v>
      </c>
      <c r="E184">
        <v>7.2</v>
      </c>
      <c r="F184">
        <v>5.36</v>
      </c>
      <c r="G184" s="6"/>
      <c r="H184" s="6"/>
    </row>
    <row r="185" spans="1:8" hidden="1" x14ac:dyDescent="0.3">
      <c r="A185" t="s">
        <v>10</v>
      </c>
      <c r="B185">
        <v>2009</v>
      </c>
      <c r="C185">
        <v>157</v>
      </c>
      <c r="G185" s="6"/>
      <c r="H185" s="6"/>
    </row>
    <row r="186" spans="1:8" hidden="1" x14ac:dyDescent="0.3">
      <c r="A186" t="s">
        <v>10</v>
      </c>
      <c r="B186">
        <v>2010</v>
      </c>
      <c r="C186">
        <v>137</v>
      </c>
    </row>
    <row r="187" spans="1:8" hidden="1" x14ac:dyDescent="0.3">
      <c r="A187" t="s">
        <v>10</v>
      </c>
      <c r="B187">
        <v>2011</v>
      </c>
      <c r="C187">
        <v>132</v>
      </c>
    </row>
    <row r="188" spans="1:8" x14ac:dyDescent="0.3">
      <c r="A188" t="s">
        <v>10</v>
      </c>
      <c r="B188">
        <v>2012</v>
      </c>
      <c r="C188">
        <v>229</v>
      </c>
    </row>
    <row r="189" spans="1:8" x14ac:dyDescent="0.3">
      <c r="A189" t="s">
        <v>10</v>
      </c>
      <c r="B189">
        <v>2013</v>
      </c>
      <c r="C189">
        <v>184</v>
      </c>
    </row>
    <row r="190" spans="1:8" x14ac:dyDescent="0.3">
      <c r="A190" t="s">
        <v>10</v>
      </c>
      <c r="B190">
        <v>2014</v>
      </c>
      <c r="C190">
        <v>170</v>
      </c>
      <c r="E190">
        <v>3.15</v>
      </c>
      <c r="F190">
        <v>5.45</v>
      </c>
    </row>
    <row r="191" spans="1:8" x14ac:dyDescent="0.3">
      <c r="A191" t="s">
        <v>10</v>
      </c>
      <c r="B191">
        <v>2015</v>
      </c>
      <c r="C191">
        <v>214</v>
      </c>
      <c r="F191">
        <v>3.15</v>
      </c>
    </row>
    <row r="192" spans="1:8" x14ac:dyDescent="0.3">
      <c r="A192" t="s">
        <v>10</v>
      </c>
      <c r="B192">
        <v>2016</v>
      </c>
      <c r="C192">
        <v>320</v>
      </c>
    </row>
    <row r="193" spans="1:8" x14ac:dyDescent="0.3">
      <c r="A193" t="s">
        <v>10</v>
      </c>
      <c r="B193">
        <v>2017</v>
      </c>
      <c r="C193">
        <v>177</v>
      </c>
      <c r="E193">
        <v>1.65</v>
      </c>
      <c r="F193">
        <v>1.65</v>
      </c>
    </row>
    <row r="194" spans="1:8" x14ac:dyDescent="0.3">
      <c r="A194" t="s">
        <v>10</v>
      </c>
      <c r="B194">
        <v>2018</v>
      </c>
      <c r="C194">
        <v>201</v>
      </c>
      <c r="E194">
        <v>1.65</v>
      </c>
      <c r="F194">
        <v>1.65</v>
      </c>
    </row>
    <row r="195" spans="1:8" hidden="1" x14ac:dyDescent="0.3">
      <c r="A195" t="s">
        <v>11</v>
      </c>
      <c r="B195">
        <v>2001</v>
      </c>
      <c r="C195">
        <v>245</v>
      </c>
    </row>
    <row r="196" spans="1:8" hidden="1" x14ac:dyDescent="0.3">
      <c r="A196" t="s">
        <v>11</v>
      </c>
      <c r="B196">
        <v>2008</v>
      </c>
      <c r="C196">
        <v>281</v>
      </c>
      <c r="E196">
        <v>7.3</v>
      </c>
      <c r="F196">
        <v>7.7</v>
      </c>
      <c r="G196" s="6"/>
      <c r="H196" s="6"/>
    </row>
    <row r="197" spans="1:8" hidden="1" x14ac:dyDescent="0.3">
      <c r="A197" t="s">
        <v>11</v>
      </c>
      <c r="B197">
        <v>2009</v>
      </c>
      <c r="C197">
        <v>231</v>
      </c>
      <c r="G197" s="6"/>
      <c r="H197" s="6"/>
    </row>
    <row r="198" spans="1:8" hidden="1" x14ac:dyDescent="0.3">
      <c r="A198" t="s">
        <v>11</v>
      </c>
      <c r="B198">
        <v>2010</v>
      </c>
      <c r="C198">
        <v>243</v>
      </c>
    </row>
    <row r="199" spans="1:8" hidden="1" x14ac:dyDescent="0.3">
      <c r="A199" t="s">
        <v>11</v>
      </c>
      <c r="B199">
        <v>2011</v>
      </c>
      <c r="C199">
        <v>268</v>
      </c>
    </row>
    <row r="200" spans="1:8" x14ac:dyDescent="0.3">
      <c r="A200" t="s">
        <v>11</v>
      </c>
      <c r="B200">
        <v>2012</v>
      </c>
      <c r="C200">
        <v>179</v>
      </c>
    </row>
    <row r="201" spans="1:8" x14ac:dyDescent="0.3">
      <c r="A201" t="s">
        <v>11</v>
      </c>
      <c r="B201">
        <v>2013</v>
      </c>
      <c r="C201">
        <v>291</v>
      </c>
      <c r="E201">
        <v>2.7</v>
      </c>
      <c r="F201">
        <v>2.7</v>
      </c>
    </row>
    <row r="202" spans="1:8" x14ac:dyDescent="0.3">
      <c r="A202" t="s">
        <v>11</v>
      </c>
      <c r="B202">
        <v>2014</v>
      </c>
      <c r="C202">
        <v>220</v>
      </c>
      <c r="E202">
        <v>2.7</v>
      </c>
      <c r="F202">
        <v>2.7</v>
      </c>
      <c r="G202">
        <v>1</v>
      </c>
      <c r="H202">
        <v>31</v>
      </c>
    </row>
    <row r="203" spans="1:8" x14ac:dyDescent="0.3">
      <c r="A203" t="s">
        <v>11</v>
      </c>
      <c r="B203">
        <v>2015</v>
      </c>
      <c r="C203">
        <v>262</v>
      </c>
      <c r="F203">
        <v>2.7</v>
      </c>
    </row>
    <row r="204" spans="1:8" x14ac:dyDescent="0.3">
      <c r="A204" t="s">
        <v>11</v>
      </c>
      <c r="B204">
        <v>2016</v>
      </c>
      <c r="C204">
        <v>363</v>
      </c>
      <c r="F204">
        <v>2.63</v>
      </c>
    </row>
    <row r="205" spans="1:8" x14ac:dyDescent="0.3">
      <c r="A205" t="s">
        <v>11</v>
      </c>
      <c r="B205">
        <v>2017</v>
      </c>
      <c r="C205">
        <v>268</v>
      </c>
      <c r="E205">
        <v>2.7</v>
      </c>
      <c r="F205">
        <v>2.7</v>
      </c>
    </row>
    <row r="206" spans="1:8" x14ac:dyDescent="0.3">
      <c r="A206" t="s">
        <v>11</v>
      </c>
      <c r="B206">
        <v>2018</v>
      </c>
      <c r="C206">
        <v>332</v>
      </c>
      <c r="E206">
        <v>2.7</v>
      </c>
      <c r="F206">
        <v>2.7</v>
      </c>
    </row>
    <row r="207" spans="1:8" hidden="1" x14ac:dyDescent="0.3">
      <c r="A207" t="s">
        <v>12</v>
      </c>
      <c r="B207">
        <v>2001</v>
      </c>
      <c r="C207">
        <v>336</v>
      </c>
    </row>
    <row r="208" spans="1:8" hidden="1" x14ac:dyDescent="0.3">
      <c r="A208" t="s">
        <v>12</v>
      </c>
      <c r="B208">
        <v>2008</v>
      </c>
      <c r="C208">
        <v>446</v>
      </c>
      <c r="E208">
        <v>6.2</v>
      </c>
      <c r="F208">
        <v>4.3</v>
      </c>
      <c r="G208" s="6"/>
      <c r="H208" s="6"/>
    </row>
    <row r="209" spans="1:8" hidden="1" x14ac:dyDescent="0.3">
      <c r="A209" t="s">
        <v>12</v>
      </c>
      <c r="B209">
        <v>2009</v>
      </c>
      <c r="C209">
        <v>380</v>
      </c>
      <c r="G209" s="6"/>
      <c r="H209" s="6"/>
    </row>
    <row r="210" spans="1:8" hidden="1" x14ac:dyDescent="0.3">
      <c r="A210" t="s">
        <v>12</v>
      </c>
      <c r="B210">
        <v>2010</v>
      </c>
      <c r="C210">
        <v>290</v>
      </c>
    </row>
    <row r="211" spans="1:8" hidden="1" x14ac:dyDescent="0.3">
      <c r="A211" t="s">
        <v>12</v>
      </c>
      <c r="B211">
        <v>2011</v>
      </c>
      <c r="C211">
        <v>429</v>
      </c>
    </row>
    <row r="212" spans="1:8" x14ac:dyDescent="0.3">
      <c r="A212" t="s">
        <v>12</v>
      </c>
      <c r="B212">
        <v>2012</v>
      </c>
      <c r="C212">
        <v>423</v>
      </c>
    </row>
    <row r="213" spans="1:8" x14ac:dyDescent="0.3">
      <c r="A213" t="s">
        <v>12</v>
      </c>
      <c r="B213">
        <v>2013</v>
      </c>
      <c r="C213">
        <v>329</v>
      </c>
      <c r="E213">
        <v>6.5</v>
      </c>
      <c r="F213">
        <v>4.5</v>
      </c>
    </row>
    <row r="214" spans="1:8" x14ac:dyDescent="0.3">
      <c r="A214" t="s">
        <v>12</v>
      </c>
      <c r="B214">
        <v>2014</v>
      </c>
      <c r="C214">
        <v>363</v>
      </c>
      <c r="E214">
        <v>3.15</v>
      </c>
      <c r="F214">
        <v>4.5</v>
      </c>
      <c r="G214">
        <v>0.48461538461538461</v>
      </c>
      <c r="H214">
        <v>17</v>
      </c>
    </row>
    <row r="215" spans="1:8" x14ac:dyDescent="0.3">
      <c r="A215" t="s">
        <v>12</v>
      </c>
      <c r="B215">
        <v>2015</v>
      </c>
      <c r="C215">
        <v>502</v>
      </c>
      <c r="F215">
        <v>4.5</v>
      </c>
    </row>
    <row r="216" spans="1:8" x14ac:dyDescent="0.3">
      <c r="A216" t="s">
        <v>12</v>
      </c>
      <c r="B216">
        <v>2016</v>
      </c>
      <c r="C216">
        <v>354</v>
      </c>
      <c r="F216">
        <v>3.15</v>
      </c>
    </row>
    <row r="217" spans="1:8" x14ac:dyDescent="0.3">
      <c r="A217" t="s">
        <v>12</v>
      </c>
      <c r="B217">
        <v>2017</v>
      </c>
      <c r="C217">
        <v>583</v>
      </c>
      <c r="E217">
        <v>3.75</v>
      </c>
      <c r="F217">
        <v>3.15</v>
      </c>
    </row>
    <row r="218" spans="1:8" x14ac:dyDescent="0.3">
      <c r="A218" t="s">
        <v>12</v>
      </c>
      <c r="B218">
        <v>2018</v>
      </c>
      <c r="C218">
        <v>381</v>
      </c>
      <c r="E218">
        <v>3.15</v>
      </c>
      <c r="F218">
        <v>3.15</v>
      </c>
    </row>
    <row r="219" spans="1:8" hidden="1" x14ac:dyDescent="0.3">
      <c r="A219" t="s">
        <v>50</v>
      </c>
      <c r="B219">
        <v>2001</v>
      </c>
      <c r="C219">
        <v>361</v>
      </c>
      <c r="D219" t="s">
        <v>56</v>
      </c>
    </row>
    <row r="220" spans="1:8" hidden="1" x14ac:dyDescent="0.3">
      <c r="A220" t="s">
        <v>50</v>
      </c>
      <c r="B220">
        <v>2008</v>
      </c>
      <c r="C220">
        <v>561</v>
      </c>
      <c r="D220" t="s">
        <v>56</v>
      </c>
      <c r="E220">
        <v>5.09</v>
      </c>
      <c r="F220">
        <v>4.8099999999999996</v>
      </c>
      <c r="G220" s="6"/>
      <c r="H220" s="6"/>
    </row>
    <row r="221" spans="1:8" hidden="1" x14ac:dyDescent="0.3">
      <c r="A221" t="s">
        <v>50</v>
      </c>
      <c r="B221">
        <v>2009</v>
      </c>
      <c r="C221">
        <v>543</v>
      </c>
      <c r="D221" t="s">
        <v>56</v>
      </c>
      <c r="G221" s="6"/>
      <c r="H221" s="6"/>
    </row>
    <row r="222" spans="1:8" hidden="1" x14ac:dyDescent="0.3">
      <c r="A222" t="s">
        <v>50</v>
      </c>
      <c r="B222">
        <v>2010</v>
      </c>
      <c r="C222">
        <v>526</v>
      </c>
      <c r="D222" t="s">
        <v>56</v>
      </c>
    </row>
    <row r="223" spans="1:8" hidden="1" x14ac:dyDescent="0.3">
      <c r="A223" t="s">
        <v>50</v>
      </c>
      <c r="B223">
        <v>2011</v>
      </c>
      <c r="C223">
        <v>573</v>
      </c>
      <c r="D223" t="s">
        <v>56</v>
      </c>
    </row>
    <row r="224" spans="1:8" x14ac:dyDescent="0.3">
      <c r="A224" t="s">
        <v>50</v>
      </c>
      <c r="B224">
        <v>2012</v>
      </c>
      <c r="C224">
        <v>624</v>
      </c>
      <c r="D224" t="s">
        <v>56</v>
      </c>
    </row>
    <row r="225" spans="1:8" x14ac:dyDescent="0.3">
      <c r="A225" t="s">
        <v>50</v>
      </c>
      <c r="B225">
        <v>2013</v>
      </c>
      <c r="C225">
        <v>628</v>
      </c>
      <c r="D225" t="s">
        <v>56</v>
      </c>
      <c r="E225">
        <v>4.8600000000000003</v>
      </c>
      <c r="F225">
        <v>4.41</v>
      </c>
    </row>
    <row r="226" spans="1:8" x14ac:dyDescent="0.3">
      <c r="A226" t="s">
        <v>50</v>
      </c>
      <c r="B226">
        <v>2014</v>
      </c>
      <c r="C226">
        <v>631</v>
      </c>
      <c r="D226" t="s">
        <v>56</v>
      </c>
      <c r="E226">
        <v>3.15</v>
      </c>
      <c r="F226">
        <v>4.8499999999999996</v>
      </c>
      <c r="G226">
        <v>0.64814814814814814</v>
      </c>
      <c r="H226">
        <v>23</v>
      </c>
    </row>
    <row r="227" spans="1:8" x14ac:dyDescent="0.3">
      <c r="A227" t="s">
        <v>50</v>
      </c>
      <c r="B227">
        <v>2015</v>
      </c>
      <c r="C227">
        <v>613</v>
      </c>
      <c r="D227" t="s">
        <v>56</v>
      </c>
      <c r="F227">
        <v>4.8499999999999996</v>
      </c>
    </row>
    <row r="228" spans="1:8" x14ac:dyDescent="0.3">
      <c r="A228" t="s">
        <v>50</v>
      </c>
      <c r="B228">
        <v>2016</v>
      </c>
      <c r="C228">
        <v>817</v>
      </c>
      <c r="D228" t="s">
        <v>56</v>
      </c>
      <c r="F228">
        <v>3.15</v>
      </c>
    </row>
    <row r="229" spans="1:8" x14ac:dyDescent="0.3">
      <c r="A229" t="s">
        <v>50</v>
      </c>
      <c r="B229">
        <v>2017</v>
      </c>
      <c r="C229">
        <v>759</v>
      </c>
      <c r="D229" t="s">
        <v>56</v>
      </c>
      <c r="E229">
        <v>3.15</v>
      </c>
      <c r="F229">
        <v>3.15</v>
      </c>
    </row>
    <row r="230" spans="1:8" x14ac:dyDescent="0.3">
      <c r="A230" t="s">
        <v>50</v>
      </c>
      <c r="B230">
        <v>2018</v>
      </c>
      <c r="C230">
        <v>766</v>
      </c>
      <c r="D230" t="s">
        <v>56</v>
      </c>
      <c r="E230">
        <v>3.15</v>
      </c>
      <c r="F230">
        <v>3.15</v>
      </c>
    </row>
    <row r="231" spans="1:8" hidden="1" x14ac:dyDescent="0.3">
      <c r="A231" t="s">
        <v>13</v>
      </c>
      <c r="B231">
        <v>2001</v>
      </c>
      <c r="C231">
        <v>358</v>
      </c>
    </row>
    <row r="232" spans="1:8" hidden="1" x14ac:dyDescent="0.3">
      <c r="A232" t="s">
        <v>13</v>
      </c>
      <c r="B232">
        <v>2008</v>
      </c>
      <c r="C232">
        <v>98</v>
      </c>
      <c r="E232">
        <v>12.66</v>
      </c>
      <c r="F232">
        <v>5.05</v>
      </c>
      <c r="G232" s="6"/>
      <c r="H232" s="6"/>
    </row>
    <row r="233" spans="1:8" hidden="1" x14ac:dyDescent="0.3">
      <c r="A233" t="s">
        <v>13</v>
      </c>
      <c r="B233">
        <v>2009</v>
      </c>
      <c r="C233">
        <v>193</v>
      </c>
      <c r="G233" s="6"/>
      <c r="H233" s="6"/>
    </row>
    <row r="234" spans="1:8" hidden="1" x14ac:dyDescent="0.3">
      <c r="A234" t="s">
        <v>13</v>
      </c>
      <c r="B234">
        <v>2010</v>
      </c>
      <c r="C234">
        <v>154</v>
      </c>
    </row>
    <row r="235" spans="1:8" hidden="1" x14ac:dyDescent="0.3">
      <c r="A235" t="s">
        <v>13</v>
      </c>
      <c r="B235">
        <v>2011</v>
      </c>
      <c r="C235">
        <v>253</v>
      </c>
    </row>
    <row r="236" spans="1:8" x14ac:dyDescent="0.3">
      <c r="A236" t="s">
        <v>13</v>
      </c>
      <c r="B236">
        <v>2012</v>
      </c>
      <c r="C236">
        <v>101</v>
      </c>
    </row>
    <row r="237" spans="1:8" x14ac:dyDescent="0.3">
      <c r="A237" t="s">
        <v>13</v>
      </c>
      <c r="B237">
        <v>2013</v>
      </c>
      <c r="C237">
        <v>145</v>
      </c>
      <c r="E237">
        <v>13.35</v>
      </c>
      <c r="F237">
        <v>5.3</v>
      </c>
    </row>
    <row r="238" spans="1:8" x14ac:dyDescent="0.3">
      <c r="A238" t="s">
        <v>13</v>
      </c>
      <c r="B238">
        <v>2014</v>
      </c>
      <c r="C238">
        <v>318</v>
      </c>
      <c r="E238">
        <v>3.15</v>
      </c>
      <c r="F238">
        <v>5.3</v>
      </c>
      <c r="G238" s="6">
        <v>0.23595505617977527</v>
      </c>
      <c r="H238" s="7">
        <v>5</v>
      </c>
    </row>
    <row r="239" spans="1:8" x14ac:dyDescent="0.3">
      <c r="A239" t="s">
        <v>13</v>
      </c>
      <c r="B239">
        <v>2015</v>
      </c>
      <c r="C239">
        <v>228</v>
      </c>
      <c r="F239">
        <v>3.75</v>
      </c>
    </row>
    <row r="240" spans="1:8" x14ac:dyDescent="0.3">
      <c r="A240" t="s">
        <v>13</v>
      </c>
      <c r="B240">
        <v>2016</v>
      </c>
      <c r="C240">
        <v>212</v>
      </c>
      <c r="F240">
        <v>1.65</v>
      </c>
    </row>
    <row r="241" spans="1:8" x14ac:dyDescent="0.3">
      <c r="A241" t="s">
        <v>13</v>
      </c>
      <c r="B241">
        <v>2017</v>
      </c>
      <c r="C241">
        <v>170</v>
      </c>
      <c r="E241">
        <v>4.5</v>
      </c>
    </row>
    <row r="242" spans="1:8" x14ac:dyDescent="0.3">
      <c r="A242" t="s">
        <v>13</v>
      </c>
      <c r="B242">
        <v>2018</v>
      </c>
      <c r="C242">
        <v>336</v>
      </c>
      <c r="E242">
        <v>1.35</v>
      </c>
      <c r="F242">
        <v>1.35</v>
      </c>
    </row>
    <row r="243" spans="1:8" hidden="1" x14ac:dyDescent="0.3">
      <c r="A243" t="s">
        <v>14</v>
      </c>
      <c r="B243">
        <v>2001</v>
      </c>
      <c r="C243">
        <v>295</v>
      </c>
    </row>
    <row r="244" spans="1:8" hidden="1" x14ac:dyDescent="0.3">
      <c r="A244" t="s">
        <v>14</v>
      </c>
      <c r="B244">
        <v>2008</v>
      </c>
      <c r="C244">
        <v>298</v>
      </c>
      <c r="E244">
        <v>7.2</v>
      </c>
      <c r="F244">
        <v>7.05</v>
      </c>
      <c r="G244" s="6"/>
      <c r="H244" s="6"/>
    </row>
    <row r="245" spans="1:8" hidden="1" x14ac:dyDescent="0.3">
      <c r="A245" t="s">
        <v>14</v>
      </c>
      <c r="B245">
        <v>2009</v>
      </c>
      <c r="C245">
        <v>254</v>
      </c>
      <c r="G245" s="6"/>
      <c r="H245" s="6"/>
    </row>
    <row r="246" spans="1:8" hidden="1" x14ac:dyDescent="0.3">
      <c r="A246" t="s">
        <v>14</v>
      </c>
      <c r="B246">
        <v>2010</v>
      </c>
      <c r="C246">
        <v>175</v>
      </c>
    </row>
    <row r="247" spans="1:8" hidden="1" x14ac:dyDescent="0.3">
      <c r="A247" t="s">
        <v>14</v>
      </c>
      <c r="B247">
        <v>2011</v>
      </c>
      <c r="C247">
        <v>178</v>
      </c>
    </row>
    <row r="248" spans="1:8" x14ac:dyDescent="0.3">
      <c r="A248" t="s">
        <v>14</v>
      </c>
      <c r="B248">
        <v>2012</v>
      </c>
      <c r="C248">
        <v>211</v>
      </c>
    </row>
    <row r="249" spans="1:8" x14ac:dyDescent="0.3">
      <c r="A249" t="s">
        <v>14</v>
      </c>
      <c r="B249">
        <v>2013</v>
      </c>
      <c r="C249">
        <v>267</v>
      </c>
      <c r="E249">
        <v>4.5</v>
      </c>
      <c r="F249">
        <v>4.5</v>
      </c>
    </row>
    <row r="250" spans="1:8" x14ac:dyDescent="0.3">
      <c r="A250" t="s">
        <v>14</v>
      </c>
      <c r="B250">
        <v>2014</v>
      </c>
      <c r="C250">
        <v>202</v>
      </c>
      <c r="E250">
        <v>3.15</v>
      </c>
      <c r="F250">
        <v>5.45</v>
      </c>
      <c r="G250">
        <v>0.7</v>
      </c>
      <c r="H250">
        <v>24</v>
      </c>
    </row>
    <row r="251" spans="1:8" x14ac:dyDescent="0.3">
      <c r="A251" t="s">
        <v>14</v>
      </c>
      <c r="B251">
        <v>2015</v>
      </c>
      <c r="C251">
        <v>296</v>
      </c>
      <c r="F251">
        <v>5.45</v>
      </c>
    </row>
    <row r="252" spans="1:8" x14ac:dyDescent="0.3">
      <c r="A252" t="s">
        <v>14</v>
      </c>
      <c r="B252">
        <v>2016</v>
      </c>
      <c r="C252">
        <v>242</v>
      </c>
      <c r="F252">
        <v>0.52</v>
      </c>
    </row>
    <row r="253" spans="1:8" x14ac:dyDescent="0.3">
      <c r="A253" t="s">
        <v>14</v>
      </c>
      <c r="B253">
        <v>2017</v>
      </c>
      <c r="C253">
        <v>286</v>
      </c>
      <c r="E253">
        <v>0.52</v>
      </c>
      <c r="F253">
        <v>0.52</v>
      </c>
    </row>
    <row r="254" spans="1:8" x14ac:dyDescent="0.3">
      <c r="A254" t="s">
        <v>14</v>
      </c>
      <c r="B254">
        <v>2018</v>
      </c>
      <c r="C254">
        <v>297</v>
      </c>
      <c r="E254">
        <v>0.52</v>
      </c>
      <c r="F254">
        <v>0.52</v>
      </c>
    </row>
    <row r="255" spans="1:8" hidden="1" x14ac:dyDescent="0.3">
      <c r="A255" t="s">
        <v>15</v>
      </c>
      <c r="B255">
        <v>2001</v>
      </c>
      <c r="C255">
        <v>284</v>
      </c>
    </row>
    <row r="256" spans="1:8" hidden="1" x14ac:dyDescent="0.3">
      <c r="A256" t="s">
        <v>15</v>
      </c>
      <c r="B256">
        <v>2008</v>
      </c>
      <c r="C256">
        <v>260</v>
      </c>
      <c r="E256">
        <v>2.2599999999999998</v>
      </c>
      <c r="F256">
        <v>2.2599999999999998</v>
      </c>
      <c r="G256" s="6"/>
      <c r="H256" s="6"/>
    </row>
    <row r="257" spans="1:8" hidden="1" x14ac:dyDescent="0.3">
      <c r="A257" t="s">
        <v>15</v>
      </c>
      <c r="B257">
        <v>2009</v>
      </c>
      <c r="C257">
        <v>260</v>
      </c>
    </row>
    <row r="258" spans="1:8" hidden="1" x14ac:dyDescent="0.3">
      <c r="A258" t="s">
        <v>15</v>
      </c>
      <c r="B258">
        <v>2010</v>
      </c>
      <c r="C258">
        <v>349</v>
      </c>
    </row>
    <row r="259" spans="1:8" hidden="1" x14ac:dyDescent="0.3">
      <c r="A259" t="s">
        <v>15</v>
      </c>
      <c r="B259">
        <v>2011</v>
      </c>
      <c r="C259">
        <v>288</v>
      </c>
    </row>
    <row r="260" spans="1:8" x14ac:dyDescent="0.3">
      <c r="A260" t="s">
        <v>15</v>
      </c>
      <c r="B260">
        <v>2012</v>
      </c>
      <c r="C260">
        <v>377</v>
      </c>
    </row>
    <row r="261" spans="1:8" x14ac:dyDescent="0.3">
      <c r="A261" t="s">
        <v>15</v>
      </c>
      <c r="B261">
        <v>2013</v>
      </c>
      <c r="C261">
        <v>367</v>
      </c>
      <c r="E261">
        <v>2.36</v>
      </c>
      <c r="F261">
        <v>2.36</v>
      </c>
    </row>
    <row r="262" spans="1:8" x14ac:dyDescent="0.3">
      <c r="A262" t="s">
        <v>15</v>
      </c>
      <c r="B262">
        <v>2014</v>
      </c>
      <c r="C262">
        <v>431</v>
      </c>
      <c r="E262">
        <v>2.36</v>
      </c>
      <c r="F262">
        <v>2.36</v>
      </c>
      <c r="G262">
        <v>1</v>
      </c>
      <c r="H262">
        <v>31</v>
      </c>
    </row>
    <row r="263" spans="1:8" x14ac:dyDescent="0.3">
      <c r="A263" t="s">
        <v>15</v>
      </c>
      <c r="B263">
        <v>2015</v>
      </c>
      <c r="C263">
        <v>358</v>
      </c>
      <c r="F263">
        <v>2.36</v>
      </c>
    </row>
    <row r="264" spans="1:8" x14ac:dyDescent="0.3">
      <c r="A264" t="s">
        <v>15</v>
      </c>
      <c r="B264">
        <v>2016</v>
      </c>
      <c r="C264">
        <v>376</v>
      </c>
      <c r="F264">
        <v>1.5</v>
      </c>
    </row>
    <row r="265" spans="1:8" x14ac:dyDescent="0.3">
      <c r="A265" t="s">
        <v>15</v>
      </c>
      <c r="B265">
        <v>2017</v>
      </c>
      <c r="C265">
        <v>418</v>
      </c>
      <c r="E265">
        <v>1.65</v>
      </c>
      <c r="F265">
        <v>1.5</v>
      </c>
    </row>
    <row r="266" spans="1:8" x14ac:dyDescent="0.3">
      <c r="A266" t="s">
        <v>15</v>
      </c>
      <c r="B266">
        <v>2018</v>
      </c>
      <c r="C266">
        <v>497</v>
      </c>
      <c r="E266">
        <v>1.62</v>
      </c>
      <c r="F266">
        <v>1.5</v>
      </c>
    </row>
    <row r="267" spans="1:8" hidden="1" x14ac:dyDescent="0.3">
      <c r="A267" t="s">
        <v>16</v>
      </c>
      <c r="B267">
        <v>2001</v>
      </c>
      <c r="C267">
        <v>233</v>
      </c>
    </row>
    <row r="268" spans="1:8" hidden="1" x14ac:dyDescent="0.3">
      <c r="A268" t="s">
        <v>16</v>
      </c>
      <c r="B268">
        <v>2008</v>
      </c>
      <c r="C268">
        <v>203</v>
      </c>
      <c r="E268">
        <v>2.25</v>
      </c>
      <c r="F268">
        <v>1.8</v>
      </c>
      <c r="G268" s="6"/>
      <c r="H268" s="6"/>
    </row>
    <row r="269" spans="1:8" hidden="1" x14ac:dyDescent="0.3">
      <c r="A269" t="s">
        <v>16</v>
      </c>
      <c r="B269">
        <v>2009</v>
      </c>
      <c r="C269">
        <v>325</v>
      </c>
    </row>
    <row r="270" spans="1:8" hidden="1" x14ac:dyDescent="0.3">
      <c r="A270" t="s">
        <v>16</v>
      </c>
      <c r="B270">
        <v>2010</v>
      </c>
      <c r="C270">
        <v>211</v>
      </c>
    </row>
    <row r="271" spans="1:8" hidden="1" x14ac:dyDescent="0.3">
      <c r="A271" t="s">
        <v>16</v>
      </c>
      <c r="B271">
        <v>2011</v>
      </c>
      <c r="C271">
        <v>277</v>
      </c>
    </row>
    <row r="272" spans="1:8" x14ac:dyDescent="0.3">
      <c r="A272" t="s">
        <v>16</v>
      </c>
      <c r="B272">
        <v>2012</v>
      </c>
      <c r="C272">
        <v>284</v>
      </c>
    </row>
    <row r="273" spans="1:8" x14ac:dyDescent="0.3">
      <c r="A273" t="s">
        <v>16</v>
      </c>
      <c r="B273">
        <v>2013</v>
      </c>
      <c r="C273">
        <v>284</v>
      </c>
      <c r="E273">
        <v>3.45</v>
      </c>
      <c r="F273">
        <v>3</v>
      </c>
    </row>
    <row r="274" spans="1:8" x14ac:dyDescent="0.3">
      <c r="A274" t="s">
        <v>16</v>
      </c>
      <c r="B274">
        <v>2014</v>
      </c>
      <c r="C274">
        <v>279</v>
      </c>
      <c r="E274">
        <v>3.15</v>
      </c>
      <c r="F274">
        <v>3</v>
      </c>
      <c r="G274">
        <v>0.91304347826086951</v>
      </c>
      <c r="H274">
        <v>29</v>
      </c>
    </row>
    <row r="275" spans="1:8" x14ac:dyDescent="0.3">
      <c r="A275" t="s">
        <v>16</v>
      </c>
      <c r="B275">
        <v>2015</v>
      </c>
      <c r="C275">
        <v>277</v>
      </c>
      <c r="F275">
        <v>2</v>
      </c>
    </row>
    <row r="276" spans="1:8" x14ac:dyDescent="0.3">
      <c r="A276" t="s">
        <v>16</v>
      </c>
      <c r="B276">
        <v>2016</v>
      </c>
      <c r="C276">
        <v>258</v>
      </c>
      <c r="F276">
        <v>3</v>
      </c>
    </row>
    <row r="277" spans="1:8" x14ac:dyDescent="0.3">
      <c r="A277" t="s">
        <v>16</v>
      </c>
      <c r="B277">
        <v>2017</v>
      </c>
      <c r="C277">
        <v>267</v>
      </c>
      <c r="E277">
        <v>3.45</v>
      </c>
      <c r="F277">
        <v>2.4</v>
      </c>
    </row>
    <row r="278" spans="1:8" x14ac:dyDescent="0.3">
      <c r="A278" t="s">
        <v>16</v>
      </c>
      <c r="B278">
        <v>2018</v>
      </c>
      <c r="C278">
        <v>348</v>
      </c>
      <c r="E278">
        <v>3.15</v>
      </c>
      <c r="F278">
        <v>2.4</v>
      </c>
    </row>
    <row r="279" spans="1:8" hidden="1" x14ac:dyDescent="0.3">
      <c r="A279" t="s">
        <v>17</v>
      </c>
      <c r="B279">
        <v>2001</v>
      </c>
      <c r="C279">
        <v>203</v>
      </c>
    </row>
    <row r="280" spans="1:8" hidden="1" x14ac:dyDescent="0.3">
      <c r="A280" t="s">
        <v>17</v>
      </c>
      <c r="B280">
        <v>2008</v>
      </c>
      <c r="C280">
        <v>188</v>
      </c>
      <c r="E280">
        <v>16.41</v>
      </c>
      <c r="F280">
        <v>6.22</v>
      </c>
      <c r="G280" s="6"/>
      <c r="H280" s="6"/>
    </row>
    <row r="281" spans="1:8" hidden="1" x14ac:dyDescent="0.3">
      <c r="A281" t="s">
        <v>17</v>
      </c>
      <c r="B281">
        <v>2009</v>
      </c>
      <c r="C281">
        <v>126</v>
      </c>
    </row>
    <row r="282" spans="1:8" hidden="1" x14ac:dyDescent="0.3">
      <c r="A282" t="s">
        <v>17</v>
      </c>
      <c r="B282">
        <v>2010</v>
      </c>
      <c r="C282">
        <v>170</v>
      </c>
    </row>
    <row r="283" spans="1:8" hidden="1" x14ac:dyDescent="0.3">
      <c r="A283" t="s">
        <v>17</v>
      </c>
      <c r="B283">
        <v>2011</v>
      </c>
      <c r="C283">
        <v>204</v>
      </c>
    </row>
    <row r="284" spans="1:8" x14ac:dyDescent="0.3">
      <c r="A284" t="s">
        <v>17</v>
      </c>
      <c r="B284">
        <v>2012</v>
      </c>
      <c r="C284">
        <v>149</v>
      </c>
    </row>
    <row r="285" spans="1:8" x14ac:dyDescent="0.3">
      <c r="A285" t="s">
        <v>17</v>
      </c>
      <c r="B285">
        <v>2013</v>
      </c>
      <c r="C285">
        <v>213</v>
      </c>
    </row>
    <row r="286" spans="1:8" x14ac:dyDescent="0.3">
      <c r="A286" t="s">
        <v>17</v>
      </c>
      <c r="B286">
        <v>2014</v>
      </c>
      <c r="C286">
        <v>146</v>
      </c>
      <c r="E286">
        <v>3.15</v>
      </c>
      <c r="F286">
        <v>6.45</v>
      </c>
    </row>
    <row r="287" spans="1:8" x14ac:dyDescent="0.3">
      <c r="A287" t="s">
        <v>17</v>
      </c>
      <c r="B287">
        <v>2015</v>
      </c>
      <c r="C287">
        <v>115</v>
      </c>
      <c r="F287">
        <v>6.45</v>
      </c>
    </row>
    <row r="288" spans="1:8" x14ac:dyDescent="0.3">
      <c r="A288" t="s">
        <v>17</v>
      </c>
      <c r="B288">
        <v>2016</v>
      </c>
      <c r="C288">
        <v>189</v>
      </c>
      <c r="F288">
        <v>0.75</v>
      </c>
    </row>
    <row r="289" spans="1:8" x14ac:dyDescent="0.3">
      <c r="A289" t="s">
        <v>17</v>
      </c>
      <c r="B289">
        <v>2017</v>
      </c>
      <c r="C289">
        <v>63</v>
      </c>
      <c r="E289">
        <v>0.75</v>
      </c>
      <c r="F289">
        <v>0.75</v>
      </c>
    </row>
    <row r="290" spans="1:8" x14ac:dyDescent="0.3">
      <c r="A290" t="s">
        <v>17</v>
      </c>
      <c r="B290">
        <v>2018</v>
      </c>
      <c r="C290">
        <v>64</v>
      </c>
      <c r="E290">
        <v>0.75</v>
      </c>
      <c r="F290">
        <v>0.75</v>
      </c>
    </row>
    <row r="291" spans="1:8" hidden="1" x14ac:dyDescent="0.3">
      <c r="A291" t="s">
        <v>18</v>
      </c>
      <c r="B291">
        <v>2001</v>
      </c>
      <c r="C291">
        <v>238</v>
      </c>
    </row>
    <row r="292" spans="1:8" hidden="1" x14ac:dyDescent="0.3">
      <c r="A292" t="s">
        <v>18</v>
      </c>
      <c r="B292">
        <v>2008</v>
      </c>
      <c r="C292">
        <v>302</v>
      </c>
      <c r="E292">
        <v>12.66</v>
      </c>
      <c r="F292">
        <v>4.7</v>
      </c>
      <c r="G292" s="6"/>
      <c r="H292" s="6"/>
    </row>
    <row r="293" spans="1:8" hidden="1" x14ac:dyDescent="0.3">
      <c r="A293" t="s">
        <v>18</v>
      </c>
      <c r="B293">
        <v>2009</v>
      </c>
      <c r="C293">
        <v>302</v>
      </c>
    </row>
    <row r="294" spans="1:8" hidden="1" x14ac:dyDescent="0.3">
      <c r="A294" t="s">
        <v>18</v>
      </c>
      <c r="B294">
        <v>2010</v>
      </c>
      <c r="C294">
        <v>316</v>
      </c>
    </row>
    <row r="295" spans="1:8" hidden="1" x14ac:dyDescent="0.3">
      <c r="A295" t="s">
        <v>18</v>
      </c>
      <c r="B295">
        <v>2011</v>
      </c>
      <c r="C295">
        <v>305</v>
      </c>
    </row>
    <row r="296" spans="1:8" x14ac:dyDescent="0.3">
      <c r="A296" t="s">
        <v>18</v>
      </c>
      <c r="B296">
        <v>2012</v>
      </c>
      <c r="C296">
        <v>260</v>
      </c>
    </row>
    <row r="297" spans="1:8" x14ac:dyDescent="0.3">
      <c r="A297" t="s">
        <v>18</v>
      </c>
      <c r="B297">
        <v>2013</v>
      </c>
      <c r="C297">
        <v>436</v>
      </c>
      <c r="E297">
        <v>5.7</v>
      </c>
      <c r="F297">
        <v>5.7</v>
      </c>
    </row>
    <row r="298" spans="1:8" x14ac:dyDescent="0.3">
      <c r="A298" t="s">
        <v>18</v>
      </c>
      <c r="B298">
        <v>2014</v>
      </c>
      <c r="C298">
        <v>383</v>
      </c>
      <c r="E298">
        <v>3.15</v>
      </c>
      <c r="F298">
        <v>5.7</v>
      </c>
      <c r="G298">
        <v>0.55263157894736836</v>
      </c>
      <c r="H298">
        <v>21</v>
      </c>
    </row>
    <row r="299" spans="1:8" x14ac:dyDescent="0.3">
      <c r="A299" t="s">
        <v>18</v>
      </c>
      <c r="B299">
        <v>2015</v>
      </c>
      <c r="C299">
        <v>322</v>
      </c>
      <c r="F299">
        <v>5.7</v>
      </c>
    </row>
    <row r="300" spans="1:8" x14ac:dyDescent="0.3">
      <c r="A300" t="s">
        <v>18</v>
      </c>
      <c r="B300">
        <v>2016</v>
      </c>
      <c r="C300">
        <v>474</v>
      </c>
      <c r="F300">
        <v>1.65</v>
      </c>
    </row>
    <row r="301" spans="1:8" x14ac:dyDescent="0.3">
      <c r="A301" t="s">
        <v>18</v>
      </c>
      <c r="B301">
        <v>2017</v>
      </c>
      <c r="C301">
        <v>568</v>
      </c>
      <c r="E301">
        <v>0.57999999999999996</v>
      </c>
      <c r="F301">
        <v>1.65</v>
      </c>
    </row>
    <row r="302" spans="1:8" x14ac:dyDescent="0.3">
      <c r="A302" t="s">
        <v>18</v>
      </c>
      <c r="B302">
        <v>2018</v>
      </c>
      <c r="C302">
        <v>572</v>
      </c>
      <c r="E302">
        <v>0.59</v>
      </c>
      <c r="F302">
        <v>0.59</v>
      </c>
    </row>
    <row r="303" spans="1:8" hidden="1" x14ac:dyDescent="0.3">
      <c r="A303" t="s">
        <v>19</v>
      </c>
      <c r="B303">
        <v>2001</v>
      </c>
      <c r="C303">
        <v>199</v>
      </c>
    </row>
    <row r="304" spans="1:8" hidden="1" x14ac:dyDescent="0.3">
      <c r="A304" t="s">
        <v>19</v>
      </c>
      <c r="B304">
        <v>2008</v>
      </c>
      <c r="C304">
        <v>289</v>
      </c>
      <c r="E304">
        <v>2.4</v>
      </c>
      <c r="F304">
        <v>2.4</v>
      </c>
    </row>
    <row r="305" spans="1:8" hidden="1" x14ac:dyDescent="0.3">
      <c r="A305" t="s">
        <v>19</v>
      </c>
      <c r="B305">
        <v>2009</v>
      </c>
      <c r="C305">
        <v>265</v>
      </c>
    </row>
    <row r="306" spans="1:8" hidden="1" x14ac:dyDescent="0.3">
      <c r="A306" t="s">
        <v>19</v>
      </c>
      <c r="B306">
        <v>2010</v>
      </c>
      <c r="C306">
        <v>288</v>
      </c>
    </row>
    <row r="307" spans="1:8" hidden="1" x14ac:dyDescent="0.3">
      <c r="A307" t="s">
        <v>19</v>
      </c>
      <c r="B307">
        <v>2011</v>
      </c>
      <c r="C307">
        <v>239</v>
      </c>
    </row>
    <row r="308" spans="1:8" x14ac:dyDescent="0.3">
      <c r="A308" t="s">
        <v>19</v>
      </c>
      <c r="B308">
        <v>2012</v>
      </c>
      <c r="C308">
        <v>228</v>
      </c>
    </row>
    <row r="309" spans="1:8" x14ac:dyDescent="0.3">
      <c r="A309" t="s">
        <v>19</v>
      </c>
      <c r="B309">
        <v>2013</v>
      </c>
      <c r="C309">
        <v>292</v>
      </c>
      <c r="E309">
        <v>0.75</v>
      </c>
      <c r="F309">
        <v>0.75</v>
      </c>
    </row>
    <row r="310" spans="1:8" x14ac:dyDescent="0.3">
      <c r="A310" t="s">
        <v>19</v>
      </c>
      <c r="B310">
        <v>2014</v>
      </c>
      <c r="C310">
        <v>304</v>
      </c>
      <c r="E310">
        <v>1.75</v>
      </c>
      <c r="F310">
        <v>1.75</v>
      </c>
      <c r="G310">
        <v>2.3333333333333335</v>
      </c>
      <c r="H310">
        <v>45</v>
      </c>
    </row>
    <row r="311" spans="1:8" x14ac:dyDescent="0.3">
      <c r="A311" t="s">
        <v>19</v>
      </c>
      <c r="B311">
        <v>2015</v>
      </c>
      <c r="C311">
        <v>328</v>
      </c>
      <c r="F311">
        <v>1.75</v>
      </c>
    </row>
    <row r="312" spans="1:8" x14ac:dyDescent="0.3">
      <c r="A312" t="s">
        <v>19</v>
      </c>
      <c r="B312">
        <v>2016</v>
      </c>
      <c r="C312">
        <v>305</v>
      </c>
      <c r="F312">
        <v>0.75</v>
      </c>
    </row>
    <row r="313" spans="1:8" x14ac:dyDescent="0.3">
      <c r="A313" t="s">
        <v>19</v>
      </c>
      <c r="B313">
        <v>2017</v>
      </c>
      <c r="C313">
        <v>289</v>
      </c>
      <c r="E313">
        <v>0.75</v>
      </c>
      <c r="F313">
        <v>0.75</v>
      </c>
    </row>
    <row r="314" spans="1:8" x14ac:dyDescent="0.3">
      <c r="A314" t="s">
        <v>19</v>
      </c>
      <c r="B314">
        <v>2018</v>
      </c>
      <c r="C314">
        <v>349</v>
      </c>
      <c r="E314">
        <v>0.75</v>
      </c>
      <c r="F314">
        <v>0.75</v>
      </c>
    </row>
    <row r="315" spans="1:8" hidden="1" x14ac:dyDescent="0.3">
      <c r="A315" t="s">
        <v>20</v>
      </c>
      <c r="B315">
        <v>2001</v>
      </c>
      <c r="C315">
        <v>215</v>
      </c>
    </row>
    <row r="316" spans="1:8" hidden="1" x14ac:dyDescent="0.3">
      <c r="A316" t="s">
        <v>20</v>
      </c>
      <c r="B316">
        <v>2008</v>
      </c>
      <c r="C316">
        <v>309</v>
      </c>
      <c r="E316">
        <v>5.55</v>
      </c>
      <c r="F316">
        <v>5.55</v>
      </c>
      <c r="G316" s="6"/>
      <c r="H316" s="6"/>
    </row>
    <row r="317" spans="1:8" hidden="1" x14ac:dyDescent="0.3">
      <c r="A317" t="s">
        <v>20</v>
      </c>
      <c r="B317">
        <v>2009</v>
      </c>
      <c r="C317">
        <v>97</v>
      </c>
    </row>
    <row r="318" spans="1:8" hidden="1" x14ac:dyDescent="0.3">
      <c r="A318" t="s">
        <v>20</v>
      </c>
      <c r="B318">
        <v>2010</v>
      </c>
      <c r="C318">
        <v>64</v>
      </c>
    </row>
    <row r="319" spans="1:8" hidden="1" x14ac:dyDescent="0.3">
      <c r="A319" t="s">
        <v>20</v>
      </c>
      <c r="B319">
        <v>2011</v>
      </c>
      <c r="C319">
        <v>192</v>
      </c>
    </row>
    <row r="320" spans="1:8" x14ac:dyDescent="0.3">
      <c r="A320" t="s">
        <v>20</v>
      </c>
      <c r="B320">
        <v>2012</v>
      </c>
      <c r="C320">
        <v>355</v>
      </c>
    </row>
    <row r="321" spans="1:8" x14ac:dyDescent="0.3">
      <c r="A321" t="s">
        <v>20</v>
      </c>
      <c r="B321">
        <v>2013</v>
      </c>
      <c r="C321">
        <v>224</v>
      </c>
      <c r="E321">
        <v>2.04</v>
      </c>
      <c r="F321">
        <v>2.04</v>
      </c>
    </row>
    <row r="322" spans="1:8" x14ac:dyDescent="0.3">
      <c r="A322" t="s">
        <v>20</v>
      </c>
      <c r="B322">
        <v>2014</v>
      </c>
      <c r="C322">
        <v>609</v>
      </c>
      <c r="E322">
        <v>2.04</v>
      </c>
      <c r="F322">
        <v>2.04</v>
      </c>
      <c r="G322">
        <v>1</v>
      </c>
      <c r="H322">
        <v>31</v>
      </c>
    </row>
    <row r="323" spans="1:8" x14ac:dyDescent="0.3">
      <c r="A323" t="s">
        <v>20</v>
      </c>
      <c r="B323">
        <v>2015</v>
      </c>
      <c r="C323">
        <v>409</v>
      </c>
      <c r="F323">
        <v>2.04</v>
      </c>
    </row>
    <row r="324" spans="1:8" x14ac:dyDescent="0.3">
      <c r="A324" t="s">
        <v>20</v>
      </c>
      <c r="B324">
        <v>2016</v>
      </c>
      <c r="C324">
        <v>500</v>
      </c>
    </row>
    <row r="325" spans="1:8" x14ac:dyDescent="0.3">
      <c r="A325" t="s">
        <v>20</v>
      </c>
      <c r="B325">
        <v>2017</v>
      </c>
      <c r="C325">
        <v>409</v>
      </c>
      <c r="E325">
        <v>2.14</v>
      </c>
      <c r="F325">
        <v>2.14</v>
      </c>
    </row>
    <row r="326" spans="1:8" x14ac:dyDescent="0.3">
      <c r="A326" t="s">
        <v>20</v>
      </c>
      <c r="B326">
        <v>2018</v>
      </c>
      <c r="C326">
        <v>130</v>
      </c>
      <c r="E326">
        <v>2.15</v>
      </c>
      <c r="F326">
        <v>2.15</v>
      </c>
    </row>
    <row r="327" spans="1:8" hidden="1" x14ac:dyDescent="0.3">
      <c r="A327" t="s">
        <v>21</v>
      </c>
      <c r="B327">
        <v>2001</v>
      </c>
      <c r="C327">
        <v>179</v>
      </c>
    </row>
    <row r="328" spans="1:8" hidden="1" x14ac:dyDescent="0.3">
      <c r="A328" t="s">
        <v>21</v>
      </c>
      <c r="B328">
        <v>2008</v>
      </c>
      <c r="C328">
        <v>134</v>
      </c>
      <c r="E328">
        <v>1.4</v>
      </c>
      <c r="F328">
        <v>1.4</v>
      </c>
      <c r="G328" s="6"/>
      <c r="H328" s="6"/>
    </row>
    <row r="329" spans="1:8" hidden="1" x14ac:dyDescent="0.3">
      <c r="A329" t="s">
        <v>21</v>
      </c>
      <c r="B329">
        <v>2009</v>
      </c>
      <c r="C329">
        <v>245</v>
      </c>
    </row>
    <row r="330" spans="1:8" hidden="1" x14ac:dyDescent="0.3">
      <c r="A330" t="s">
        <v>21</v>
      </c>
      <c r="B330">
        <v>2010</v>
      </c>
      <c r="C330">
        <v>260</v>
      </c>
    </row>
    <row r="331" spans="1:8" hidden="1" x14ac:dyDescent="0.3">
      <c r="A331" t="s">
        <v>21</v>
      </c>
      <c r="B331">
        <v>2011</v>
      </c>
      <c r="C331">
        <v>365</v>
      </c>
    </row>
    <row r="332" spans="1:8" x14ac:dyDescent="0.3">
      <c r="A332" t="s">
        <v>21</v>
      </c>
      <c r="B332">
        <v>2012</v>
      </c>
      <c r="C332">
        <v>233</v>
      </c>
    </row>
    <row r="333" spans="1:8" x14ac:dyDescent="0.3">
      <c r="A333" t="s">
        <v>21</v>
      </c>
      <c r="B333">
        <v>2013</v>
      </c>
      <c r="C333">
        <v>319</v>
      </c>
      <c r="E333">
        <v>1.25</v>
      </c>
      <c r="F333">
        <v>1.25</v>
      </c>
    </row>
    <row r="334" spans="1:8" x14ac:dyDescent="0.3">
      <c r="A334" t="s">
        <v>21</v>
      </c>
      <c r="B334">
        <v>2014</v>
      </c>
      <c r="C334">
        <v>249</v>
      </c>
      <c r="E334">
        <v>1.45</v>
      </c>
      <c r="F334">
        <v>1.45</v>
      </c>
      <c r="G334">
        <v>1.1599999999999999</v>
      </c>
      <c r="H334">
        <v>40</v>
      </c>
    </row>
    <row r="335" spans="1:8" x14ac:dyDescent="0.3">
      <c r="A335" t="s">
        <v>21</v>
      </c>
      <c r="B335">
        <v>2015</v>
      </c>
      <c r="C335">
        <v>331</v>
      </c>
      <c r="F335">
        <v>1.45</v>
      </c>
    </row>
    <row r="336" spans="1:8" x14ac:dyDescent="0.3">
      <c r="A336" t="s">
        <v>21</v>
      </c>
      <c r="B336">
        <v>2016</v>
      </c>
      <c r="C336">
        <v>174</v>
      </c>
      <c r="F336">
        <v>1.5</v>
      </c>
    </row>
    <row r="337" spans="1:8" x14ac:dyDescent="0.3">
      <c r="A337" t="s">
        <v>21</v>
      </c>
      <c r="B337">
        <v>2017</v>
      </c>
      <c r="C337">
        <v>308</v>
      </c>
      <c r="E337">
        <v>0.19</v>
      </c>
      <c r="F337">
        <v>0.94</v>
      </c>
    </row>
    <row r="338" spans="1:8" x14ac:dyDescent="0.3">
      <c r="A338" t="s">
        <v>21</v>
      </c>
      <c r="B338">
        <v>2018</v>
      </c>
      <c r="C338">
        <v>187</v>
      </c>
      <c r="E338">
        <v>0.94</v>
      </c>
      <c r="F338">
        <v>0.94</v>
      </c>
    </row>
    <row r="339" spans="1:8" hidden="1" x14ac:dyDescent="0.3">
      <c r="A339" t="s">
        <v>22</v>
      </c>
      <c r="B339">
        <v>2001</v>
      </c>
      <c r="C339">
        <v>274</v>
      </c>
    </row>
    <row r="340" spans="1:8" hidden="1" x14ac:dyDescent="0.3">
      <c r="A340" t="s">
        <v>22</v>
      </c>
      <c r="B340">
        <v>2008</v>
      </c>
      <c r="C340">
        <v>272</v>
      </c>
      <c r="E340">
        <v>14.56</v>
      </c>
      <c r="F340">
        <v>2.5</v>
      </c>
      <c r="G340" s="6"/>
      <c r="H340" s="6"/>
    </row>
    <row r="341" spans="1:8" hidden="1" x14ac:dyDescent="0.3">
      <c r="A341" t="s">
        <v>22</v>
      </c>
      <c r="B341">
        <v>2009</v>
      </c>
      <c r="C341">
        <v>278</v>
      </c>
    </row>
    <row r="342" spans="1:8" hidden="1" x14ac:dyDescent="0.3">
      <c r="A342" t="s">
        <v>22</v>
      </c>
      <c r="B342">
        <v>2010</v>
      </c>
      <c r="C342">
        <v>336</v>
      </c>
    </row>
    <row r="343" spans="1:8" hidden="1" x14ac:dyDescent="0.3">
      <c r="A343" t="s">
        <v>22</v>
      </c>
      <c r="B343">
        <v>2011</v>
      </c>
      <c r="C343">
        <v>280</v>
      </c>
    </row>
    <row r="344" spans="1:8" x14ac:dyDescent="0.3">
      <c r="A344" t="s">
        <v>22</v>
      </c>
      <c r="B344">
        <v>2012</v>
      </c>
      <c r="C344">
        <v>294</v>
      </c>
    </row>
    <row r="345" spans="1:8" x14ac:dyDescent="0.3">
      <c r="A345" t="s">
        <v>22</v>
      </c>
      <c r="B345">
        <v>2013</v>
      </c>
      <c r="C345">
        <v>274</v>
      </c>
      <c r="E345">
        <v>9.85</v>
      </c>
      <c r="F345">
        <v>2.95</v>
      </c>
    </row>
    <row r="346" spans="1:8" x14ac:dyDescent="0.3">
      <c r="A346" t="s">
        <v>22</v>
      </c>
      <c r="B346">
        <v>2014</v>
      </c>
      <c r="C346">
        <v>347</v>
      </c>
      <c r="E346">
        <v>3.15</v>
      </c>
      <c r="F346">
        <v>2.95</v>
      </c>
      <c r="G346">
        <v>0.31979695431472083</v>
      </c>
      <c r="H346">
        <v>10</v>
      </c>
    </row>
    <row r="347" spans="1:8" x14ac:dyDescent="0.3">
      <c r="A347" t="s">
        <v>22</v>
      </c>
      <c r="B347">
        <v>2015</v>
      </c>
      <c r="C347">
        <v>355</v>
      </c>
      <c r="F347">
        <v>2.95</v>
      </c>
    </row>
    <row r="348" spans="1:8" x14ac:dyDescent="0.3">
      <c r="A348" t="s">
        <v>22</v>
      </c>
      <c r="B348">
        <v>2016</v>
      </c>
      <c r="C348">
        <v>301</v>
      </c>
      <c r="F348">
        <v>1.65</v>
      </c>
    </row>
    <row r="349" spans="1:8" x14ac:dyDescent="0.3">
      <c r="A349" t="s">
        <v>22</v>
      </c>
      <c r="B349">
        <v>2017</v>
      </c>
      <c r="C349">
        <v>349</v>
      </c>
      <c r="E349">
        <v>1.65</v>
      </c>
    </row>
    <row r="350" spans="1:8" x14ac:dyDescent="0.3">
      <c r="A350" t="s">
        <v>22</v>
      </c>
      <c r="B350">
        <v>2018</v>
      </c>
      <c r="C350">
        <v>217</v>
      </c>
      <c r="E350">
        <v>1.65</v>
      </c>
      <c r="F350">
        <v>1.65</v>
      </c>
    </row>
    <row r="351" spans="1:8" hidden="1" x14ac:dyDescent="0.3">
      <c r="A351" t="s">
        <v>23</v>
      </c>
      <c r="B351">
        <v>2001</v>
      </c>
      <c r="C351">
        <v>83</v>
      </c>
    </row>
    <row r="352" spans="1:8" hidden="1" x14ac:dyDescent="0.3">
      <c r="A352" t="s">
        <v>23</v>
      </c>
      <c r="B352">
        <v>2008</v>
      </c>
      <c r="C352">
        <v>175</v>
      </c>
      <c r="E352">
        <v>2.6</v>
      </c>
      <c r="F352">
        <v>2.6</v>
      </c>
      <c r="G352" s="6"/>
      <c r="H352" s="6"/>
    </row>
    <row r="353" spans="1:8" hidden="1" x14ac:dyDescent="0.3">
      <c r="A353" t="s">
        <v>23</v>
      </c>
      <c r="B353">
        <v>2009</v>
      </c>
      <c r="C353">
        <v>309</v>
      </c>
    </row>
    <row r="354" spans="1:8" hidden="1" x14ac:dyDescent="0.3">
      <c r="A354" t="s">
        <v>23</v>
      </c>
      <c r="B354">
        <v>2010</v>
      </c>
      <c r="C354">
        <v>153</v>
      </c>
    </row>
    <row r="355" spans="1:8" hidden="1" x14ac:dyDescent="0.3">
      <c r="A355" t="s">
        <v>23</v>
      </c>
      <c r="B355">
        <v>2011</v>
      </c>
      <c r="C355">
        <v>413</v>
      </c>
    </row>
    <row r="356" spans="1:8" x14ac:dyDescent="0.3">
      <c r="A356" t="s">
        <v>23</v>
      </c>
      <c r="B356">
        <v>2012</v>
      </c>
      <c r="C356">
        <v>195</v>
      </c>
    </row>
    <row r="357" spans="1:8" x14ac:dyDescent="0.3">
      <c r="A357" t="s">
        <v>23</v>
      </c>
      <c r="B357">
        <v>2013</v>
      </c>
      <c r="C357">
        <v>305</v>
      </c>
      <c r="E357">
        <v>2.25</v>
      </c>
      <c r="F357">
        <v>2.25</v>
      </c>
    </row>
    <row r="358" spans="1:8" x14ac:dyDescent="0.3">
      <c r="A358" t="s">
        <v>23</v>
      </c>
      <c r="B358">
        <v>2014</v>
      </c>
      <c r="C358">
        <v>184</v>
      </c>
      <c r="E358">
        <v>3.15</v>
      </c>
      <c r="F358">
        <v>2.7</v>
      </c>
      <c r="G358">
        <v>1.4</v>
      </c>
      <c r="H358">
        <v>44</v>
      </c>
    </row>
    <row r="359" spans="1:8" x14ac:dyDescent="0.3">
      <c r="A359" t="s">
        <v>23</v>
      </c>
      <c r="B359">
        <v>2015</v>
      </c>
      <c r="C359">
        <v>301</v>
      </c>
      <c r="F359">
        <v>2.7</v>
      </c>
    </row>
    <row r="360" spans="1:8" x14ac:dyDescent="0.3">
      <c r="A360" t="s">
        <v>23</v>
      </c>
      <c r="B360">
        <v>2016</v>
      </c>
      <c r="C360">
        <v>346</v>
      </c>
      <c r="F360">
        <v>0.68</v>
      </c>
    </row>
    <row r="361" spans="1:8" x14ac:dyDescent="0.3">
      <c r="A361" t="s">
        <v>23</v>
      </c>
      <c r="B361">
        <v>2017</v>
      </c>
      <c r="C361">
        <v>197</v>
      </c>
      <c r="E361">
        <v>0.2</v>
      </c>
      <c r="F361">
        <v>0.2</v>
      </c>
    </row>
    <row r="362" spans="1:8" x14ac:dyDescent="0.3">
      <c r="A362" t="s">
        <v>23</v>
      </c>
      <c r="B362">
        <v>2018</v>
      </c>
      <c r="C362">
        <v>312</v>
      </c>
      <c r="E362">
        <v>0.2</v>
      </c>
      <c r="F362">
        <v>0.2</v>
      </c>
    </row>
    <row r="363" spans="1:8" hidden="1" x14ac:dyDescent="0.3">
      <c r="A363" t="s">
        <v>24</v>
      </c>
      <c r="B363">
        <v>2001</v>
      </c>
      <c r="C363">
        <v>265</v>
      </c>
    </row>
    <row r="364" spans="1:8" hidden="1" x14ac:dyDescent="0.3">
      <c r="A364" t="s">
        <v>24</v>
      </c>
      <c r="B364">
        <v>2008</v>
      </c>
      <c r="C364">
        <v>266</v>
      </c>
      <c r="E364">
        <v>14.21</v>
      </c>
      <c r="F364">
        <v>7.35</v>
      </c>
      <c r="G364" s="6"/>
      <c r="H364" s="6"/>
    </row>
    <row r="365" spans="1:8" hidden="1" x14ac:dyDescent="0.3">
      <c r="A365" t="s">
        <v>24</v>
      </c>
      <c r="B365">
        <v>2009</v>
      </c>
      <c r="C365">
        <v>241</v>
      </c>
    </row>
    <row r="366" spans="1:8" hidden="1" x14ac:dyDescent="0.3">
      <c r="A366" t="s">
        <v>24</v>
      </c>
      <c r="B366">
        <v>2010</v>
      </c>
      <c r="C366">
        <v>229</v>
      </c>
    </row>
    <row r="367" spans="1:8" hidden="1" x14ac:dyDescent="0.3">
      <c r="A367" t="s">
        <v>24</v>
      </c>
      <c r="B367">
        <v>2011</v>
      </c>
      <c r="C367">
        <v>279</v>
      </c>
    </row>
    <row r="368" spans="1:8" x14ac:dyDescent="0.3">
      <c r="A368" t="s">
        <v>24</v>
      </c>
      <c r="B368">
        <v>2012</v>
      </c>
      <c r="C368">
        <v>208</v>
      </c>
    </row>
    <row r="369" spans="1:8" x14ac:dyDescent="0.3">
      <c r="A369" t="s">
        <v>24</v>
      </c>
      <c r="B369">
        <v>2013</v>
      </c>
      <c r="C369">
        <v>207</v>
      </c>
      <c r="E369">
        <v>4.95</v>
      </c>
      <c r="F369">
        <v>4.95</v>
      </c>
    </row>
    <row r="370" spans="1:8" x14ac:dyDescent="0.3">
      <c r="A370" t="s">
        <v>24</v>
      </c>
      <c r="B370">
        <v>2014</v>
      </c>
      <c r="C370">
        <v>234</v>
      </c>
      <c r="E370">
        <v>3.15</v>
      </c>
      <c r="F370">
        <v>4.95</v>
      </c>
      <c r="G370">
        <v>0.63636363636363635</v>
      </c>
      <c r="H370">
        <v>22</v>
      </c>
    </row>
    <row r="371" spans="1:8" x14ac:dyDescent="0.3">
      <c r="A371" t="s">
        <v>24</v>
      </c>
      <c r="B371">
        <v>2015</v>
      </c>
      <c r="C371">
        <v>256</v>
      </c>
      <c r="F371">
        <v>4.95</v>
      </c>
    </row>
    <row r="372" spans="1:8" x14ac:dyDescent="0.3">
      <c r="A372" t="s">
        <v>24</v>
      </c>
      <c r="B372">
        <v>2016</v>
      </c>
      <c r="C372">
        <v>252</v>
      </c>
      <c r="F372">
        <v>0.66</v>
      </c>
    </row>
    <row r="373" spans="1:8" x14ac:dyDescent="0.3">
      <c r="A373" t="s">
        <v>24</v>
      </c>
      <c r="B373">
        <v>2017</v>
      </c>
      <c r="C373">
        <v>203</v>
      </c>
      <c r="E373">
        <v>0.66</v>
      </c>
      <c r="F373">
        <v>0.66</v>
      </c>
    </row>
    <row r="374" spans="1:8" x14ac:dyDescent="0.3">
      <c r="A374" t="s">
        <v>24</v>
      </c>
      <c r="B374">
        <v>2018</v>
      </c>
      <c r="C374">
        <v>173</v>
      </c>
      <c r="E374">
        <v>0.66</v>
      </c>
      <c r="F374">
        <v>0.66</v>
      </c>
    </row>
    <row r="375" spans="1:8" hidden="1" x14ac:dyDescent="0.3">
      <c r="A375" t="s">
        <v>25</v>
      </c>
      <c r="B375">
        <v>2001</v>
      </c>
      <c r="C375">
        <v>194</v>
      </c>
    </row>
    <row r="376" spans="1:8" hidden="1" x14ac:dyDescent="0.3">
      <c r="A376" t="s">
        <v>25</v>
      </c>
      <c r="B376">
        <v>2008</v>
      </c>
      <c r="C376">
        <v>459</v>
      </c>
      <c r="E376">
        <v>10</v>
      </c>
      <c r="F376">
        <v>3.85</v>
      </c>
      <c r="G376" s="6"/>
      <c r="H376" s="6"/>
    </row>
    <row r="377" spans="1:8" hidden="1" x14ac:dyDescent="0.3">
      <c r="A377" t="s">
        <v>25</v>
      </c>
      <c r="B377">
        <v>2009</v>
      </c>
      <c r="C377">
        <v>319</v>
      </c>
    </row>
    <row r="378" spans="1:8" hidden="1" x14ac:dyDescent="0.3">
      <c r="A378" t="s">
        <v>25</v>
      </c>
      <c r="B378">
        <v>2010</v>
      </c>
      <c r="C378">
        <v>240</v>
      </c>
    </row>
    <row r="379" spans="1:8" hidden="1" x14ac:dyDescent="0.3">
      <c r="A379" t="s">
        <v>25</v>
      </c>
      <c r="B379">
        <v>2011</v>
      </c>
      <c r="C379">
        <v>239</v>
      </c>
    </row>
    <row r="380" spans="1:8" x14ac:dyDescent="0.3">
      <c r="A380" t="s">
        <v>25</v>
      </c>
      <c r="B380">
        <v>2012</v>
      </c>
      <c r="C380">
        <v>211</v>
      </c>
    </row>
    <row r="381" spans="1:8" x14ac:dyDescent="0.3">
      <c r="A381" t="s">
        <v>25</v>
      </c>
      <c r="B381">
        <v>2013</v>
      </c>
      <c r="C381">
        <v>251</v>
      </c>
      <c r="E381">
        <v>0.59</v>
      </c>
      <c r="F381">
        <v>0.59</v>
      </c>
    </row>
    <row r="382" spans="1:8" x14ac:dyDescent="0.3">
      <c r="A382" t="s">
        <v>25</v>
      </c>
      <c r="B382">
        <v>2014</v>
      </c>
      <c r="C382">
        <v>345</v>
      </c>
      <c r="E382">
        <v>0.65</v>
      </c>
      <c r="F382">
        <v>0.66</v>
      </c>
      <c r="G382">
        <v>1.1016949152542375</v>
      </c>
      <c r="H382">
        <v>39</v>
      </c>
    </row>
    <row r="383" spans="1:8" x14ac:dyDescent="0.3">
      <c r="A383" t="s">
        <v>25</v>
      </c>
      <c r="B383">
        <v>2015</v>
      </c>
      <c r="C383">
        <v>267</v>
      </c>
      <c r="F383">
        <v>0.66</v>
      </c>
    </row>
    <row r="384" spans="1:8" x14ac:dyDescent="0.3">
      <c r="A384" t="s">
        <v>25</v>
      </c>
      <c r="B384">
        <v>2016</v>
      </c>
      <c r="C384">
        <v>229</v>
      </c>
      <c r="F384">
        <v>1.2</v>
      </c>
    </row>
    <row r="385" spans="1:8" x14ac:dyDescent="0.3">
      <c r="A385" t="s">
        <v>25</v>
      </c>
      <c r="B385">
        <v>2017</v>
      </c>
      <c r="C385">
        <v>250</v>
      </c>
      <c r="E385">
        <v>1.2</v>
      </c>
      <c r="F385">
        <v>1.2</v>
      </c>
    </row>
    <row r="386" spans="1:8" x14ac:dyDescent="0.3">
      <c r="A386" t="s">
        <v>25</v>
      </c>
      <c r="B386">
        <v>2018</v>
      </c>
      <c r="C386">
        <v>332</v>
      </c>
      <c r="E386">
        <v>1.2</v>
      </c>
      <c r="F386">
        <v>1.2</v>
      </c>
    </row>
    <row r="387" spans="1:8" hidden="1" x14ac:dyDescent="0.3">
      <c r="A387" t="s">
        <v>26</v>
      </c>
      <c r="B387">
        <v>2001</v>
      </c>
      <c r="C387">
        <v>259</v>
      </c>
    </row>
    <row r="388" spans="1:8" hidden="1" x14ac:dyDescent="0.3">
      <c r="A388" t="s">
        <v>26</v>
      </c>
      <c r="B388">
        <v>2008</v>
      </c>
      <c r="C388">
        <v>221</v>
      </c>
      <c r="E388">
        <v>0.72</v>
      </c>
      <c r="F388">
        <v>0.72</v>
      </c>
      <c r="G388" s="6"/>
      <c r="H388" s="6"/>
    </row>
    <row r="389" spans="1:8" hidden="1" x14ac:dyDescent="0.3">
      <c r="A389" t="s">
        <v>26</v>
      </c>
      <c r="B389">
        <v>2009</v>
      </c>
      <c r="C389">
        <v>243</v>
      </c>
    </row>
    <row r="390" spans="1:8" hidden="1" x14ac:dyDescent="0.3">
      <c r="A390" t="s">
        <v>26</v>
      </c>
      <c r="B390">
        <v>2010</v>
      </c>
      <c r="C390">
        <v>220</v>
      </c>
    </row>
    <row r="391" spans="1:8" hidden="1" x14ac:dyDescent="0.3">
      <c r="A391" t="s">
        <v>26</v>
      </c>
      <c r="B391">
        <v>2011</v>
      </c>
      <c r="C391">
        <v>212</v>
      </c>
    </row>
    <row r="392" spans="1:8" x14ac:dyDescent="0.3">
      <c r="A392" t="s">
        <v>26</v>
      </c>
      <c r="B392">
        <v>2012</v>
      </c>
      <c r="C392">
        <v>213</v>
      </c>
    </row>
    <row r="393" spans="1:8" x14ac:dyDescent="0.3">
      <c r="A393" t="s">
        <v>26</v>
      </c>
      <c r="B393">
        <v>2013</v>
      </c>
      <c r="C393">
        <v>266</v>
      </c>
      <c r="E393">
        <v>0.72</v>
      </c>
      <c r="F393">
        <v>0.72</v>
      </c>
    </row>
    <row r="394" spans="1:8" x14ac:dyDescent="0.3">
      <c r="A394" t="s">
        <v>26</v>
      </c>
      <c r="B394">
        <v>2014</v>
      </c>
      <c r="C394">
        <v>235</v>
      </c>
      <c r="E394">
        <v>0.72</v>
      </c>
      <c r="F394">
        <v>0.72</v>
      </c>
      <c r="G394">
        <v>1</v>
      </c>
      <c r="H394">
        <v>31</v>
      </c>
    </row>
    <row r="395" spans="1:8" x14ac:dyDescent="0.3">
      <c r="A395" t="s">
        <v>26</v>
      </c>
      <c r="B395">
        <v>2015</v>
      </c>
      <c r="C395">
        <v>223</v>
      </c>
      <c r="F395">
        <v>0.72</v>
      </c>
    </row>
    <row r="396" spans="1:8" x14ac:dyDescent="0.3">
      <c r="A396" t="s">
        <v>26</v>
      </c>
      <c r="B396">
        <v>2016</v>
      </c>
      <c r="C396">
        <v>290</v>
      </c>
      <c r="F396">
        <v>0.72</v>
      </c>
    </row>
    <row r="397" spans="1:8" x14ac:dyDescent="0.3">
      <c r="A397" t="s">
        <v>26</v>
      </c>
      <c r="B397">
        <v>2017</v>
      </c>
      <c r="C397">
        <v>289</v>
      </c>
      <c r="E397">
        <v>0.72</v>
      </c>
      <c r="F397">
        <v>0.72</v>
      </c>
    </row>
    <row r="398" spans="1:8" x14ac:dyDescent="0.3">
      <c r="A398" t="s">
        <v>26</v>
      </c>
      <c r="B398">
        <v>2018</v>
      </c>
      <c r="C398">
        <v>295</v>
      </c>
      <c r="E398">
        <v>0.65</v>
      </c>
      <c r="F398">
        <v>0.65</v>
      </c>
    </row>
    <row r="399" spans="1:8" hidden="1" x14ac:dyDescent="0.3">
      <c r="A399" t="s">
        <v>27</v>
      </c>
      <c r="B399">
        <v>2001</v>
      </c>
      <c r="C399">
        <v>205</v>
      </c>
    </row>
    <row r="400" spans="1:8" hidden="1" x14ac:dyDescent="0.3">
      <c r="A400" t="s">
        <v>27</v>
      </c>
      <c r="B400">
        <v>2008</v>
      </c>
      <c r="C400">
        <v>293</v>
      </c>
      <c r="E400">
        <v>16.41</v>
      </c>
      <c r="F400">
        <v>4.91</v>
      </c>
      <c r="G400" s="6"/>
      <c r="H400" s="6"/>
    </row>
    <row r="401" spans="1:8" hidden="1" x14ac:dyDescent="0.3">
      <c r="A401" t="s">
        <v>27</v>
      </c>
      <c r="B401">
        <v>2009</v>
      </c>
      <c r="C401">
        <v>214</v>
      </c>
    </row>
    <row r="402" spans="1:8" hidden="1" x14ac:dyDescent="0.3">
      <c r="A402" t="s">
        <v>27</v>
      </c>
      <c r="B402">
        <v>2010</v>
      </c>
      <c r="C402">
        <v>215</v>
      </c>
    </row>
    <row r="403" spans="1:8" hidden="1" x14ac:dyDescent="0.3">
      <c r="A403" t="s">
        <v>27</v>
      </c>
      <c r="B403">
        <v>2011</v>
      </c>
      <c r="C403">
        <v>179</v>
      </c>
    </row>
    <row r="404" spans="1:8" x14ac:dyDescent="0.3">
      <c r="A404" t="s">
        <v>27</v>
      </c>
      <c r="B404">
        <v>2012</v>
      </c>
      <c r="C404">
        <v>211</v>
      </c>
    </row>
    <row r="405" spans="1:8" x14ac:dyDescent="0.3">
      <c r="A405" t="s">
        <v>27</v>
      </c>
      <c r="B405">
        <v>2013</v>
      </c>
      <c r="C405">
        <v>218</v>
      </c>
      <c r="E405">
        <v>3.4</v>
      </c>
      <c r="F405">
        <v>3.4</v>
      </c>
    </row>
    <row r="406" spans="1:8" x14ac:dyDescent="0.3">
      <c r="A406" t="s">
        <v>27</v>
      </c>
      <c r="B406">
        <v>2014</v>
      </c>
      <c r="C406">
        <v>252</v>
      </c>
      <c r="E406">
        <v>3.15</v>
      </c>
      <c r="F406">
        <v>3.4</v>
      </c>
      <c r="G406">
        <v>0.92647058823529416</v>
      </c>
      <c r="H406">
        <v>30</v>
      </c>
    </row>
    <row r="407" spans="1:8" x14ac:dyDescent="0.3">
      <c r="A407" t="s">
        <v>27</v>
      </c>
      <c r="B407">
        <v>2015</v>
      </c>
      <c r="C407">
        <v>244</v>
      </c>
      <c r="F407">
        <v>3.4</v>
      </c>
    </row>
    <row r="408" spans="1:8" x14ac:dyDescent="0.3">
      <c r="A408" t="s">
        <v>27</v>
      </c>
      <c r="B408">
        <v>2016</v>
      </c>
      <c r="C408">
        <v>353</v>
      </c>
      <c r="F408">
        <v>1.5</v>
      </c>
    </row>
    <row r="409" spans="1:8" x14ac:dyDescent="0.3">
      <c r="A409" t="s">
        <v>27</v>
      </c>
      <c r="B409">
        <v>2017</v>
      </c>
      <c r="C409">
        <v>284</v>
      </c>
      <c r="E409">
        <v>1.5</v>
      </c>
    </row>
    <row r="410" spans="1:8" x14ac:dyDescent="0.3">
      <c r="A410" t="s">
        <v>27</v>
      </c>
      <c r="B410">
        <v>2018</v>
      </c>
      <c r="C410">
        <v>336</v>
      </c>
      <c r="E410">
        <v>1.5</v>
      </c>
      <c r="F410">
        <v>1.5</v>
      </c>
    </row>
    <row r="411" spans="1:8" hidden="1" x14ac:dyDescent="0.3">
      <c r="A411" t="s">
        <v>28</v>
      </c>
      <c r="B411">
        <v>2001</v>
      </c>
      <c r="C411">
        <v>276</v>
      </c>
    </row>
    <row r="412" spans="1:8" hidden="1" x14ac:dyDescent="0.3">
      <c r="A412" t="s">
        <v>28</v>
      </c>
      <c r="B412">
        <v>2008</v>
      </c>
      <c r="C412">
        <v>0</v>
      </c>
      <c r="E412">
        <v>5.82</v>
      </c>
      <c r="F412">
        <v>5.82</v>
      </c>
      <c r="G412" s="6"/>
      <c r="H412" s="6"/>
    </row>
    <row r="413" spans="1:8" hidden="1" x14ac:dyDescent="0.3">
      <c r="A413" t="s">
        <v>28</v>
      </c>
      <c r="B413">
        <v>2009</v>
      </c>
      <c r="C413">
        <v>0</v>
      </c>
    </row>
    <row r="414" spans="1:8" hidden="1" x14ac:dyDescent="0.3">
      <c r="A414" t="s">
        <v>28</v>
      </c>
      <c r="B414">
        <v>2010</v>
      </c>
      <c r="C414">
        <v>71</v>
      </c>
    </row>
    <row r="415" spans="1:8" hidden="1" x14ac:dyDescent="0.3">
      <c r="A415" t="s">
        <v>28</v>
      </c>
      <c r="B415">
        <v>2011</v>
      </c>
      <c r="C415">
        <v>72</v>
      </c>
    </row>
    <row r="416" spans="1:8" x14ac:dyDescent="0.3">
      <c r="A416" t="s">
        <v>28</v>
      </c>
      <c r="B416">
        <v>2012</v>
      </c>
      <c r="C416">
        <v>212</v>
      </c>
    </row>
    <row r="417" spans="1:8" x14ac:dyDescent="0.3">
      <c r="A417" t="s">
        <v>28</v>
      </c>
      <c r="B417">
        <v>2013</v>
      </c>
      <c r="C417">
        <v>63</v>
      </c>
      <c r="E417">
        <v>6.06</v>
      </c>
      <c r="F417">
        <v>6.06</v>
      </c>
    </row>
    <row r="418" spans="1:8" x14ac:dyDescent="0.3">
      <c r="A418" t="s">
        <v>28</v>
      </c>
      <c r="B418">
        <v>2014</v>
      </c>
      <c r="C418">
        <v>0</v>
      </c>
      <c r="E418">
        <v>3.15</v>
      </c>
      <c r="F418">
        <v>6.06</v>
      </c>
      <c r="G418">
        <v>0.51980198019801982</v>
      </c>
      <c r="H418">
        <v>19</v>
      </c>
    </row>
    <row r="419" spans="1:8" x14ac:dyDescent="0.3">
      <c r="A419" t="s">
        <v>28</v>
      </c>
      <c r="B419">
        <v>2015</v>
      </c>
      <c r="C419">
        <v>0</v>
      </c>
      <c r="F419">
        <v>6.06</v>
      </c>
    </row>
    <row r="420" spans="1:8" x14ac:dyDescent="0.3">
      <c r="A420" t="s">
        <v>28</v>
      </c>
      <c r="B420">
        <v>2016</v>
      </c>
      <c r="C420">
        <v>244</v>
      </c>
      <c r="F420">
        <v>1.2</v>
      </c>
    </row>
    <row r="421" spans="1:8" x14ac:dyDescent="0.3">
      <c r="A421" t="s">
        <v>28</v>
      </c>
      <c r="B421">
        <v>2017</v>
      </c>
      <c r="C421">
        <v>126</v>
      </c>
      <c r="E421">
        <v>1.2</v>
      </c>
      <c r="F421">
        <v>1.19</v>
      </c>
    </row>
    <row r="422" spans="1:8" x14ac:dyDescent="0.3">
      <c r="A422" t="s">
        <v>28</v>
      </c>
      <c r="B422">
        <v>2018</v>
      </c>
      <c r="C422">
        <v>0</v>
      </c>
      <c r="E422">
        <v>1.19</v>
      </c>
      <c r="F422">
        <v>1.19</v>
      </c>
    </row>
    <row r="423" spans="1:8" hidden="1" x14ac:dyDescent="0.3">
      <c r="A423" t="s">
        <v>29</v>
      </c>
      <c r="B423">
        <v>2001</v>
      </c>
      <c r="C423">
        <v>256</v>
      </c>
    </row>
    <row r="424" spans="1:8" hidden="1" x14ac:dyDescent="0.3">
      <c r="A424" t="s">
        <v>29</v>
      </c>
      <c r="B424">
        <v>2008</v>
      </c>
      <c r="C424">
        <v>198</v>
      </c>
      <c r="E424">
        <v>15.98</v>
      </c>
      <c r="F424">
        <v>5.55</v>
      </c>
      <c r="G424" s="6"/>
      <c r="H424" s="6"/>
    </row>
    <row r="425" spans="1:8" hidden="1" x14ac:dyDescent="0.3">
      <c r="A425" t="s">
        <v>29</v>
      </c>
      <c r="B425">
        <v>2009</v>
      </c>
      <c r="C425">
        <v>236</v>
      </c>
    </row>
    <row r="426" spans="1:8" hidden="1" x14ac:dyDescent="0.3">
      <c r="A426" t="s">
        <v>29</v>
      </c>
      <c r="B426">
        <v>2010</v>
      </c>
      <c r="C426">
        <v>224</v>
      </c>
    </row>
    <row r="427" spans="1:8" hidden="1" x14ac:dyDescent="0.3">
      <c r="A427" t="s">
        <v>29</v>
      </c>
      <c r="B427">
        <v>2011</v>
      </c>
      <c r="C427">
        <v>218</v>
      </c>
    </row>
    <row r="428" spans="1:8" x14ac:dyDescent="0.3">
      <c r="A428" t="s">
        <v>29</v>
      </c>
      <c r="B428">
        <v>2012</v>
      </c>
      <c r="C428">
        <v>248</v>
      </c>
    </row>
    <row r="429" spans="1:8" x14ac:dyDescent="0.3">
      <c r="A429" t="s">
        <v>29</v>
      </c>
      <c r="B429">
        <v>2013</v>
      </c>
      <c r="C429">
        <v>240</v>
      </c>
      <c r="E429">
        <v>13.58</v>
      </c>
      <c r="F429">
        <v>4.6900000000000004</v>
      </c>
    </row>
    <row r="430" spans="1:8" x14ac:dyDescent="0.3">
      <c r="A430" t="s">
        <v>29</v>
      </c>
      <c r="B430">
        <v>2014</v>
      </c>
      <c r="C430">
        <v>215</v>
      </c>
      <c r="E430">
        <v>0.75</v>
      </c>
      <c r="F430">
        <v>5.87</v>
      </c>
      <c r="G430">
        <v>5.5228276877761412E-2</v>
      </c>
      <c r="H430">
        <v>1</v>
      </c>
    </row>
    <row r="431" spans="1:8" x14ac:dyDescent="0.3">
      <c r="A431" t="s">
        <v>29</v>
      </c>
      <c r="B431">
        <v>2015</v>
      </c>
      <c r="C431">
        <v>264</v>
      </c>
      <c r="F431">
        <v>5.86</v>
      </c>
    </row>
    <row r="432" spans="1:8" x14ac:dyDescent="0.3">
      <c r="A432" t="s">
        <v>29</v>
      </c>
      <c r="B432">
        <v>2016</v>
      </c>
      <c r="C432">
        <v>255</v>
      </c>
      <c r="F432">
        <v>0.75</v>
      </c>
    </row>
    <row r="433" spans="1:8" x14ac:dyDescent="0.3">
      <c r="A433" t="s">
        <v>29</v>
      </c>
      <c r="B433">
        <v>2017</v>
      </c>
      <c r="C433">
        <v>289</v>
      </c>
      <c r="F433">
        <v>0.75</v>
      </c>
    </row>
    <row r="434" spans="1:8" x14ac:dyDescent="0.3">
      <c r="A434" t="s">
        <v>29</v>
      </c>
      <c r="B434">
        <v>2018</v>
      </c>
      <c r="C434">
        <v>299</v>
      </c>
      <c r="E434">
        <v>0.75</v>
      </c>
      <c r="F434">
        <v>0.75</v>
      </c>
    </row>
    <row r="435" spans="1:8" hidden="1" x14ac:dyDescent="0.3">
      <c r="A435" t="s">
        <v>30</v>
      </c>
      <c r="B435">
        <v>2001</v>
      </c>
      <c r="C435">
        <v>235</v>
      </c>
    </row>
    <row r="436" spans="1:8" hidden="1" x14ac:dyDescent="0.3">
      <c r="A436" t="s">
        <v>30</v>
      </c>
      <c r="B436">
        <v>2008</v>
      </c>
      <c r="C436">
        <v>372</v>
      </c>
      <c r="E436">
        <v>3.6</v>
      </c>
      <c r="F436">
        <v>3.6</v>
      </c>
      <c r="G436" s="6"/>
      <c r="H436" s="6"/>
    </row>
    <row r="437" spans="1:8" hidden="1" x14ac:dyDescent="0.3">
      <c r="A437" t="s">
        <v>30</v>
      </c>
      <c r="B437">
        <v>2009</v>
      </c>
      <c r="C437">
        <v>328</v>
      </c>
    </row>
    <row r="438" spans="1:8" hidden="1" x14ac:dyDescent="0.3">
      <c r="A438" t="s">
        <v>30</v>
      </c>
      <c r="B438">
        <v>2010</v>
      </c>
      <c r="C438">
        <v>248</v>
      </c>
    </row>
    <row r="439" spans="1:8" hidden="1" x14ac:dyDescent="0.3">
      <c r="A439" t="s">
        <v>30</v>
      </c>
      <c r="B439">
        <v>2011</v>
      </c>
      <c r="C439">
        <v>358</v>
      </c>
    </row>
    <row r="440" spans="1:8" x14ac:dyDescent="0.3">
      <c r="A440" t="s">
        <v>30</v>
      </c>
      <c r="B440">
        <v>2012</v>
      </c>
      <c r="C440">
        <v>324</v>
      </c>
    </row>
    <row r="441" spans="1:8" x14ac:dyDescent="0.3">
      <c r="A441" t="s">
        <v>30</v>
      </c>
      <c r="B441">
        <v>2013</v>
      </c>
      <c r="C441">
        <v>343</v>
      </c>
      <c r="E441">
        <v>3</v>
      </c>
      <c r="F441">
        <v>3</v>
      </c>
    </row>
    <row r="442" spans="1:8" x14ac:dyDescent="0.3">
      <c r="A442" t="s">
        <v>30</v>
      </c>
      <c r="B442">
        <v>2014</v>
      </c>
      <c r="C442">
        <v>404</v>
      </c>
      <c r="E442">
        <v>3</v>
      </c>
      <c r="F442">
        <v>3</v>
      </c>
      <c r="G442">
        <v>1</v>
      </c>
      <c r="H442">
        <v>31</v>
      </c>
    </row>
    <row r="443" spans="1:8" x14ac:dyDescent="0.3">
      <c r="A443" t="s">
        <v>30</v>
      </c>
      <c r="B443">
        <v>2015</v>
      </c>
      <c r="C443">
        <v>392</v>
      </c>
      <c r="F443">
        <v>3</v>
      </c>
    </row>
    <row r="444" spans="1:8" x14ac:dyDescent="0.3">
      <c r="A444" t="s">
        <v>30</v>
      </c>
      <c r="B444">
        <v>2016</v>
      </c>
      <c r="C444">
        <v>353</v>
      </c>
      <c r="F444">
        <v>3</v>
      </c>
    </row>
    <row r="445" spans="1:8" x14ac:dyDescent="0.3">
      <c r="A445" t="s">
        <v>30</v>
      </c>
      <c r="B445">
        <v>2017</v>
      </c>
      <c r="C445">
        <v>315</v>
      </c>
      <c r="E445">
        <v>3</v>
      </c>
    </row>
    <row r="446" spans="1:8" x14ac:dyDescent="0.3">
      <c r="A446" t="s">
        <v>30</v>
      </c>
      <c r="B446">
        <v>2018</v>
      </c>
      <c r="C446">
        <v>415</v>
      </c>
      <c r="E446">
        <v>3</v>
      </c>
      <c r="F446">
        <v>3</v>
      </c>
    </row>
    <row r="447" spans="1:8" hidden="1" x14ac:dyDescent="0.3">
      <c r="A447" t="s">
        <v>31</v>
      </c>
      <c r="B447">
        <v>2001</v>
      </c>
      <c r="C447">
        <v>219</v>
      </c>
    </row>
    <row r="448" spans="1:8" hidden="1" x14ac:dyDescent="0.3">
      <c r="A448" t="s">
        <v>31</v>
      </c>
      <c r="B448">
        <v>2008</v>
      </c>
      <c r="C448">
        <v>229</v>
      </c>
      <c r="E448">
        <v>16.41</v>
      </c>
      <c r="F448">
        <v>13.61</v>
      </c>
      <c r="G448" s="6"/>
      <c r="H448" s="6"/>
    </row>
    <row r="449" spans="1:8" hidden="1" x14ac:dyDescent="0.3">
      <c r="A449" t="s">
        <v>31</v>
      </c>
      <c r="B449">
        <v>2009</v>
      </c>
      <c r="C449">
        <v>248</v>
      </c>
    </row>
    <row r="450" spans="1:8" hidden="1" x14ac:dyDescent="0.3">
      <c r="A450" t="s">
        <v>31</v>
      </c>
      <c r="B450">
        <v>2010</v>
      </c>
      <c r="C450">
        <v>281</v>
      </c>
    </row>
    <row r="451" spans="1:8" hidden="1" x14ac:dyDescent="0.3">
      <c r="A451" t="s">
        <v>31</v>
      </c>
      <c r="B451">
        <v>2011</v>
      </c>
      <c r="C451">
        <v>291</v>
      </c>
    </row>
    <row r="452" spans="1:8" x14ac:dyDescent="0.3">
      <c r="A452" t="s">
        <v>31</v>
      </c>
      <c r="B452">
        <v>2012</v>
      </c>
      <c r="C452">
        <v>184</v>
      </c>
    </row>
    <row r="453" spans="1:8" x14ac:dyDescent="0.3">
      <c r="A453" t="s">
        <v>31</v>
      </c>
      <c r="B453">
        <v>2013</v>
      </c>
      <c r="C453">
        <v>205</v>
      </c>
      <c r="E453">
        <v>2.4</v>
      </c>
      <c r="F453">
        <v>2.4</v>
      </c>
    </row>
    <row r="454" spans="1:8" x14ac:dyDescent="0.3">
      <c r="A454" t="s">
        <v>31</v>
      </c>
      <c r="B454">
        <v>2014</v>
      </c>
      <c r="C454">
        <v>214</v>
      </c>
      <c r="E454">
        <v>2.4</v>
      </c>
      <c r="F454">
        <v>2.4</v>
      </c>
      <c r="G454">
        <v>1</v>
      </c>
      <c r="H454">
        <v>31</v>
      </c>
    </row>
    <row r="455" spans="1:8" x14ac:dyDescent="0.3">
      <c r="A455" t="s">
        <v>31</v>
      </c>
      <c r="B455">
        <v>2015</v>
      </c>
      <c r="C455">
        <v>252</v>
      </c>
      <c r="F455">
        <v>2.4</v>
      </c>
    </row>
    <row r="456" spans="1:8" x14ac:dyDescent="0.3">
      <c r="A456" t="s">
        <v>31</v>
      </c>
      <c r="B456">
        <v>2016</v>
      </c>
      <c r="C456">
        <v>322</v>
      </c>
    </row>
    <row r="457" spans="1:8" x14ac:dyDescent="0.3">
      <c r="A457" t="s">
        <v>31</v>
      </c>
      <c r="B457">
        <v>2017</v>
      </c>
      <c r="C457">
        <v>171</v>
      </c>
      <c r="E457">
        <v>2.4</v>
      </c>
    </row>
    <row r="458" spans="1:8" x14ac:dyDescent="0.3">
      <c r="A458" t="s">
        <v>31</v>
      </c>
      <c r="B458">
        <v>2018</v>
      </c>
      <c r="C458">
        <v>231</v>
      </c>
      <c r="E458">
        <v>2.1</v>
      </c>
      <c r="F458">
        <v>2.4</v>
      </c>
    </row>
    <row r="459" spans="1:8" hidden="1" x14ac:dyDescent="0.3">
      <c r="A459" t="s">
        <v>32</v>
      </c>
      <c r="B459">
        <v>2001</v>
      </c>
      <c r="C459">
        <v>324</v>
      </c>
    </row>
    <row r="460" spans="1:8" hidden="1" x14ac:dyDescent="0.3">
      <c r="A460" t="s">
        <v>32</v>
      </c>
      <c r="B460">
        <v>2008</v>
      </c>
      <c r="C460">
        <v>298</v>
      </c>
      <c r="E460">
        <v>10.5</v>
      </c>
      <c r="F460">
        <v>5.99</v>
      </c>
      <c r="G460" s="6"/>
      <c r="H460" s="6"/>
    </row>
    <row r="461" spans="1:8" hidden="1" x14ac:dyDescent="0.3">
      <c r="A461" t="s">
        <v>32</v>
      </c>
      <c r="B461">
        <v>2009</v>
      </c>
      <c r="C461">
        <v>327</v>
      </c>
    </row>
    <row r="462" spans="1:8" hidden="1" x14ac:dyDescent="0.3">
      <c r="A462" t="s">
        <v>32</v>
      </c>
      <c r="B462">
        <v>2010</v>
      </c>
      <c r="C462">
        <v>293</v>
      </c>
    </row>
    <row r="463" spans="1:8" hidden="1" x14ac:dyDescent="0.3">
      <c r="A463" t="s">
        <v>32</v>
      </c>
      <c r="B463">
        <v>2011</v>
      </c>
      <c r="C463">
        <v>316</v>
      </c>
    </row>
    <row r="464" spans="1:8" x14ac:dyDescent="0.3">
      <c r="A464" t="s">
        <v>32</v>
      </c>
      <c r="B464">
        <v>2012</v>
      </c>
      <c r="C464">
        <v>313</v>
      </c>
    </row>
    <row r="465" spans="1:8" x14ac:dyDescent="0.3">
      <c r="A465" t="s">
        <v>32</v>
      </c>
      <c r="B465">
        <v>2013</v>
      </c>
      <c r="C465">
        <v>314</v>
      </c>
      <c r="E465">
        <v>9.35</v>
      </c>
      <c r="F465">
        <v>5.15</v>
      </c>
    </row>
    <row r="466" spans="1:8" x14ac:dyDescent="0.3">
      <c r="A466" t="s">
        <v>32</v>
      </c>
      <c r="B466">
        <v>2014</v>
      </c>
      <c r="C466">
        <v>295</v>
      </c>
      <c r="E466">
        <v>3.15</v>
      </c>
      <c r="F466">
        <v>6.25</v>
      </c>
      <c r="G466">
        <v>0.33689839572192515</v>
      </c>
      <c r="H466">
        <v>12</v>
      </c>
    </row>
    <row r="467" spans="1:8" x14ac:dyDescent="0.3">
      <c r="A467" t="s">
        <v>32</v>
      </c>
      <c r="B467">
        <v>2015</v>
      </c>
      <c r="C467">
        <v>340</v>
      </c>
      <c r="F467">
        <v>6.25</v>
      </c>
    </row>
    <row r="468" spans="1:8" x14ac:dyDescent="0.3">
      <c r="A468" t="s">
        <v>32</v>
      </c>
      <c r="B468">
        <v>2016</v>
      </c>
      <c r="C468">
        <v>354</v>
      </c>
      <c r="F468">
        <v>0.9</v>
      </c>
    </row>
    <row r="469" spans="1:8" x14ac:dyDescent="0.3">
      <c r="A469" t="s">
        <v>32</v>
      </c>
      <c r="B469">
        <v>2017</v>
      </c>
      <c r="C469">
        <v>383</v>
      </c>
      <c r="E469">
        <v>0.9</v>
      </c>
    </row>
    <row r="470" spans="1:8" x14ac:dyDescent="0.3">
      <c r="A470" t="s">
        <v>32</v>
      </c>
      <c r="B470">
        <v>2018</v>
      </c>
      <c r="C470">
        <v>358</v>
      </c>
      <c r="E470">
        <v>0.89</v>
      </c>
      <c r="F470">
        <v>0.89</v>
      </c>
    </row>
    <row r="471" spans="1:8" hidden="1" x14ac:dyDescent="0.3">
      <c r="A471" t="s">
        <v>51</v>
      </c>
      <c r="B471">
        <v>2001</v>
      </c>
      <c r="C471">
        <v>89</v>
      </c>
      <c r="D471" t="s">
        <v>55</v>
      </c>
    </row>
    <row r="472" spans="1:8" hidden="1" x14ac:dyDescent="0.3">
      <c r="A472" t="s">
        <v>51</v>
      </c>
      <c r="B472">
        <v>2008</v>
      </c>
      <c r="C472">
        <v>160</v>
      </c>
      <c r="D472" t="s">
        <v>55</v>
      </c>
      <c r="E472">
        <v>5.5</v>
      </c>
      <c r="F472">
        <v>0.7</v>
      </c>
      <c r="G472" s="6"/>
      <c r="H472" s="6"/>
    </row>
    <row r="473" spans="1:8" hidden="1" x14ac:dyDescent="0.3">
      <c r="A473" t="s">
        <v>51</v>
      </c>
      <c r="B473">
        <v>2009</v>
      </c>
      <c r="C473">
        <v>205</v>
      </c>
      <c r="D473" t="s">
        <v>55</v>
      </c>
    </row>
    <row r="474" spans="1:8" hidden="1" x14ac:dyDescent="0.3">
      <c r="A474" t="s">
        <v>51</v>
      </c>
      <c r="B474">
        <v>2010</v>
      </c>
      <c r="C474">
        <v>222</v>
      </c>
      <c r="D474" t="s">
        <v>55</v>
      </c>
    </row>
    <row r="475" spans="1:8" hidden="1" x14ac:dyDescent="0.3">
      <c r="A475" t="s">
        <v>51</v>
      </c>
      <c r="B475">
        <v>2011</v>
      </c>
      <c r="C475">
        <v>330</v>
      </c>
      <c r="D475" t="s">
        <v>55</v>
      </c>
    </row>
    <row r="476" spans="1:8" x14ac:dyDescent="0.3">
      <c r="A476" t="s">
        <v>51</v>
      </c>
      <c r="B476">
        <v>2012</v>
      </c>
      <c r="C476">
        <v>197</v>
      </c>
      <c r="D476" t="s">
        <v>55</v>
      </c>
    </row>
    <row r="477" spans="1:8" x14ac:dyDescent="0.3">
      <c r="A477" t="s">
        <v>51</v>
      </c>
      <c r="B477">
        <v>2013</v>
      </c>
      <c r="C477">
        <v>126</v>
      </c>
      <c r="D477" t="s">
        <v>55</v>
      </c>
      <c r="E477">
        <v>5.8</v>
      </c>
      <c r="F477">
        <v>0.7</v>
      </c>
    </row>
    <row r="478" spans="1:8" x14ac:dyDescent="0.3">
      <c r="A478" t="s">
        <v>51</v>
      </c>
      <c r="B478">
        <v>2014</v>
      </c>
      <c r="C478">
        <v>223</v>
      </c>
      <c r="D478" t="s">
        <v>55</v>
      </c>
      <c r="E478">
        <v>3.15</v>
      </c>
      <c r="F478">
        <v>0.7</v>
      </c>
      <c r="G478">
        <v>0.5431034482758621</v>
      </c>
      <c r="H478">
        <v>20</v>
      </c>
    </row>
    <row r="479" spans="1:8" x14ac:dyDescent="0.3">
      <c r="A479" t="s">
        <v>51</v>
      </c>
      <c r="B479">
        <v>2015</v>
      </c>
      <c r="C479">
        <v>168</v>
      </c>
      <c r="D479" t="s">
        <v>55</v>
      </c>
      <c r="F479">
        <v>0.7</v>
      </c>
    </row>
    <row r="480" spans="1:8" x14ac:dyDescent="0.3">
      <c r="A480" t="s">
        <v>51</v>
      </c>
      <c r="B480">
        <v>2016</v>
      </c>
      <c r="C480">
        <v>69</v>
      </c>
      <c r="D480" t="s">
        <v>55</v>
      </c>
      <c r="F480">
        <v>0.7</v>
      </c>
    </row>
    <row r="481" spans="1:8" x14ac:dyDescent="0.3">
      <c r="A481" t="s">
        <v>51</v>
      </c>
      <c r="B481">
        <v>2017</v>
      </c>
      <c r="C481">
        <v>298</v>
      </c>
      <c r="D481" t="s">
        <v>55</v>
      </c>
      <c r="E481">
        <v>0.7</v>
      </c>
      <c r="F481">
        <v>0.7</v>
      </c>
    </row>
    <row r="482" spans="1:8" x14ac:dyDescent="0.3">
      <c r="A482" t="s">
        <v>51</v>
      </c>
      <c r="B482">
        <v>2018</v>
      </c>
      <c r="C482">
        <v>194</v>
      </c>
      <c r="D482" t="s">
        <v>55</v>
      </c>
      <c r="E482">
        <v>0.71</v>
      </c>
      <c r="F482">
        <v>0.71</v>
      </c>
    </row>
    <row r="483" spans="1:8" hidden="1" x14ac:dyDescent="0.3">
      <c r="A483" t="s">
        <v>33</v>
      </c>
      <c r="B483">
        <v>2001</v>
      </c>
      <c r="C483">
        <v>318</v>
      </c>
    </row>
    <row r="484" spans="1:8" hidden="1" x14ac:dyDescent="0.3">
      <c r="A484" t="s">
        <v>33</v>
      </c>
      <c r="B484">
        <v>2008</v>
      </c>
      <c r="C484">
        <v>350</v>
      </c>
      <c r="E484">
        <v>3.35</v>
      </c>
      <c r="F484">
        <v>3.1</v>
      </c>
      <c r="G484" s="6"/>
      <c r="H484" s="6"/>
    </row>
    <row r="485" spans="1:8" hidden="1" x14ac:dyDescent="0.3">
      <c r="A485" t="s">
        <v>33</v>
      </c>
      <c r="B485">
        <v>2009</v>
      </c>
      <c r="C485">
        <v>207</v>
      </c>
    </row>
    <row r="486" spans="1:8" hidden="1" x14ac:dyDescent="0.3">
      <c r="A486" t="s">
        <v>33</v>
      </c>
      <c r="B486">
        <v>2010</v>
      </c>
      <c r="C486">
        <v>304</v>
      </c>
    </row>
    <row r="487" spans="1:8" hidden="1" x14ac:dyDescent="0.3">
      <c r="A487" t="s">
        <v>33</v>
      </c>
      <c r="B487">
        <v>2011</v>
      </c>
      <c r="C487">
        <v>246</v>
      </c>
    </row>
    <row r="488" spans="1:8" x14ac:dyDescent="0.3">
      <c r="A488" t="s">
        <v>33</v>
      </c>
      <c r="B488">
        <v>2012</v>
      </c>
      <c r="C488">
        <v>265</v>
      </c>
    </row>
    <row r="489" spans="1:8" x14ac:dyDescent="0.3">
      <c r="A489" t="s">
        <v>33</v>
      </c>
      <c r="B489">
        <v>2013</v>
      </c>
      <c r="C489">
        <v>306</v>
      </c>
      <c r="E489">
        <v>0.75</v>
      </c>
      <c r="F489">
        <v>0.75</v>
      </c>
    </row>
    <row r="490" spans="1:8" x14ac:dyDescent="0.3">
      <c r="A490" t="s">
        <v>33</v>
      </c>
      <c r="B490">
        <v>2014</v>
      </c>
      <c r="C490">
        <v>315</v>
      </c>
      <c r="E490">
        <v>0.99</v>
      </c>
      <c r="F490">
        <v>0.99</v>
      </c>
      <c r="G490">
        <v>1.32</v>
      </c>
      <c r="H490">
        <v>43</v>
      </c>
    </row>
    <row r="491" spans="1:8" x14ac:dyDescent="0.3">
      <c r="A491" t="s">
        <v>33</v>
      </c>
      <c r="B491">
        <v>2015</v>
      </c>
      <c r="C491">
        <v>372</v>
      </c>
      <c r="F491">
        <v>0.99</v>
      </c>
    </row>
    <row r="492" spans="1:8" x14ac:dyDescent="0.3">
      <c r="A492" t="s">
        <v>33</v>
      </c>
      <c r="B492">
        <v>2016</v>
      </c>
      <c r="C492">
        <v>388</v>
      </c>
      <c r="F492">
        <v>1.2</v>
      </c>
    </row>
    <row r="493" spans="1:8" x14ac:dyDescent="0.3">
      <c r="A493" t="s">
        <v>33</v>
      </c>
      <c r="B493">
        <v>2017</v>
      </c>
      <c r="C493">
        <v>541</v>
      </c>
      <c r="E493">
        <v>1.2</v>
      </c>
      <c r="F493">
        <v>1.2</v>
      </c>
    </row>
    <row r="494" spans="1:8" x14ac:dyDescent="0.3">
      <c r="A494" t="s">
        <v>33</v>
      </c>
      <c r="B494">
        <v>2018</v>
      </c>
      <c r="C494">
        <v>539</v>
      </c>
      <c r="E494">
        <v>1.35</v>
      </c>
      <c r="F494">
        <v>1.2</v>
      </c>
    </row>
    <row r="495" spans="1:8" hidden="1" x14ac:dyDescent="0.3">
      <c r="A495" t="s">
        <v>34</v>
      </c>
      <c r="B495">
        <v>2001</v>
      </c>
      <c r="C495">
        <v>143</v>
      </c>
    </row>
    <row r="496" spans="1:8" hidden="1" x14ac:dyDescent="0.3">
      <c r="A496" t="s">
        <v>34</v>
      </c>
      <c r="B496">
        <v>2008</v>
      </c>
      <c r="C496">
        <v>179</v>
      </c>
      <c r="E496">
        <v>10.5</v>
      </c>
      <c r="F496">
        <v>9.16</v>
      </c>
      <c r="G496" s="6"/>
      <c r="H496" s="6"/>
    </row>
    <row r="497" spans="1:8" hidden="1" x14ac:dyDescent="0.3">
      <c r="A497" t="s">
        <v>34</v>
      </c>
      <c r="B497">
        <v>2009</v>
      </c>
      <c r="C497">
        <v>118</v>
      </c>
    </row>
    <row r="498" spans="1:8" hidden="1" x14ac:dyDescent="0.3">
      <c r="A498" t="s">
        <v>34</v>
      </c>
      <c r="B498">
        <v>2010</v>
      </c>
      <c r="C498">
        <v>236</v>
      </c>
    </row>
    <row r="499" spans="1:8" hidden="1" x14ac:dyDescent="0.3">
      <c r="A499" t="s">
        <v>34</v>
      </c>
      <c r="B499">
        <v>2011</v>
      </c>
      <c r="C499">
        <v>309</v>
      </c>
    </row>
    <row r="500" spans="1:8" x14ac:dyDescent="0.3">
      <c r="A500" t="s">
        <v>34</v>
      </c>
      <c r="B500">
        <v>2012</v>
      </c>
      <c r="C500">
        <v>250</v>
      </c>
    </row>
    <row r="501" spans="1:8" x14ac:dyDescent="0.3">
      <c r="A501" t="s">
        <v>34</v>
      </c>
      <c r="B501">
        <v>2013</v>
      </c>
      <c r="C501">
        <v>166</v>
      </c>
      <c r="E501">
        <v>2.7</v>
      </c>
      <c r="F501">
        <v>2.7</v>
      </c>
    </row>
    <row r="502" spans="1:8" x14ac:dyDescent="0.3">
      <c r="A502" t="s">
        <v>34</v>
      </c>
      <c r="B502">
        <v>2014</v>
      </c>
      <c r="C502">
        <v>200</v>
      </c>
      <c r="E502">
        <v>3.15</v>
      </c>
      <c r="F502">
        <v>8.4</v>
      </c>
      <c r="G502">
        <v>1.1666666666666665</v>
      </c>
      <c r="H502">
        <v>41</v>
      </c>
    </row>
    <row r="503" spans="1:8" x14ac:dyDescent="0.3">
      <c r="A503" t="s">
        <v>34</v>
      </c>
      <c r="B503">
        <v>2015</v>
      </c>
      <c r="C503">
        <v>198</v>
      </c>
      <c r="F503">
        <v>3.15</v>
      </c>
    </row>
    <row r="504" spans="1:8" x14ac:dyDescent="0.3">
      <c r="A504" t="s">
        <v>34</v>
      </c>
      <c r="B504">
        <v>2016</v>
      </c>
      <c r="C504">
        <v>133</v>
      </c>
      <c r="F504">
        <v>1.2</v>
      </c>
    </row>
    <row r="505" spans="1:8" x14ac:dyDescent="0.3">
      <c r="A505" t="s">
        <v>34</v>
      </c>
      <c r="B505">
        <v>2017</v>
      </c>
      <c r="C505">
        <v>308</v>
      </c>
      <c r="E505">
        <v>1.2</v>
      </c>
      <c r="F505">
        <v>1.2</v>
      </c>
    </row>
    <row r="506" spans="1:8" x14ac:dyDescent="0.3">
      <c r="A506" t="s">
        <v>34</v>
      </c>
      <c r="B506">
        <v>2018</v>
      </c>
      <c r="C506">
        <v>156</v>
      </c>
      <c r="E506">
        <v>1.2</v>
      </c>
      <c r="F506">
        <v>1.2</v>
      </c>
    </row>
    <row r="507" spans="1:8" hidden="1" x14ac:dyDescent="0.3">
      <c r="A507" t="s">
        <v>58</v>
      </c>
      <c r="B507">
        <v>2001</v>
      </c>
      <c r="C507">
        <v>242</v>
      </c>
      <c r="D507" t="s">
        <v>60</v>
      </c>
    </row>
    <row r="508" spans="1:8" hidden="1" x14ac:dyDescent="0.3">
      <c r="A508" t="s">
        <v>58</v>
      </c>
      <c r="B508">
        <v>2008</v>
      </c>
      <c r="C508">
        <v>261</v>
      </c>
      <c r="D508" t="s">
        <v>60</v>
      </c>
      <c r="G508" s="6"/>
      <c r="H508" s="6"/>
    </row>
    <row r="509" spans="1:8" hidden="1" x14ac:dyDescent="0.3">
      <c r="A509" t="s">
        <v>58</v>
      </c>
      <c r="B509">
        <v>2009</v>
      </c>
      <c r="C509">
        <v>259</v>
      </c>
      <c r="D509" t="s">
        <v>60</v>
      </c>
    </row>
    <row r="510" spans="1:8" hidden="1" x14ac:dyDescent="0.3">
      <c r="A510" t="s">
        <v>58</v>
      </c>
      <c r="B510">
        <v>2010</v>
      </c>
      <c r="C510">
        <v>246</v>
      </c>
      <c r="D510" t="s">
        <v>60</v>
      </c>
      <c r="G510" s="6"/>
      <c r="H510" s="6"/>
    </row>
    <row r="511" spans="1:8" hidden="1" x14ac:dyDescent="0.3">
      <c r="A511" t="s">
        <v>58</v>
      </c>
      <c r="B511">
        <v>2011</v>
      </c>
      <c r="C511">
        <v>260</v>
      </c>
      <c r="D511" t="s">
        <v>60</v>
      </c>
      <c r="G511" s="6"/>
      <c r="H511" s="6"/>
    </row>
    <row r="512" spans="1:8" x14ac:dyDescent="0.3">
      <c r="A512" t="s">
        <v>58</v>
      </c>
      <c r="B512">
        <v>2012</v>
      </c>
      <c r="C512">
        <v>265</v>
      </c>
      <c r="D512" t="s">
        <v>60</v>
      </c>
      <c r="G512" s="6"/>
      <c r="H512" s="6"/>
    </row>
    <row r="513" spans="1:8" x14ac:dyDescent="0.3">
      <c r="A513" t="s">
        <v>58</v>
      </c>
      <c r="B513">
        <v>2013</v>
      </c>
      <c r="C513">
        <v>274</v>
      </c>
      <c r="D513" t="s">
        <v>60</v>
      </c>
      <c r="G513" s="6"/>
      <c r="H513" s="6"/>
    </row>
    <row r="514" spans="1:8" x14ac:dyDescent="0.3">
      <c r="A514" t="s">
        <v>58</v>
      </c>
      <c r="B514">
        <v>2014</v>
      </c>
      <c r="C514">
        <v>274</v>
      </c>
      <c r="D514" t="s">
        <v>60</v>
      </c>
      <c r="G514" s="6"/>
      <c r="H514" s="6"/>
    </row>
    <row r="515" spans="1:8" x14ac:dyDescent="0.3">
      <c r="A515" t="s">
        <v>58</v>
      </c>
      <c r="B515">
        <v>2015</v>
      </c>
      <c r="C515">
        <v>296</v>
      </c>
      <c r="D515" t="s">
        <v>60</v>
      </c>
      <c r="G515" s="6"/>
      <c r="H515" s="6"/>
    </row>
    <row r="516" spans="1:8" x14ac:dyDescent="0.3">
      <c r="A516" t="s">
        <v>58</v>
      </c>
      <c r="B516">
        <v>2016</v>
      </c>
      <c r="C516">
        <v>303</v>
      </c>
      <c r="D516" t="s">
        <v>60</v>
      </c>
      <c r="G516" s="6"/>
      <c r="H516" s="6"/>
    </row>
    <row r="517" spans="1:8" x14ac:dyDescent="0.3">
      <c r="A517" t="s">
        <v>58</v>
      </c>
      <c r="B517">
        <v>2017</v>
      </c>
      <c r="C517">
        <v>323</v>
      </c>
      <c r="D517" t="s">
        <v>60</v>
      </c>
      <c r="G517" s="6"/>
      <c r="H517" s="6"/>
    </row>
    <row r="518" spans="1:8" x14ac:dyDescent="0.3">
      <c r="A518" t="s">
        <v>58</v>
      </c>
      <c r="B518">
        <v>2018</v>
      </c>
      <c r="C518">
        <v>344</v>
      </c>
      <c r="D518" t="s">
        <v>60</v>
      </c>
      <c r="G518" s="6"/>
      <c r="H518" s="6"/>
    </row>
    <row r="519" spans="1:8" hidden="1" x14ac:dyDescent="0.3">
      <c r="A519" t="s">
        <v>35</v>
      </c>
      <c r="B519">
        <v>2001</v>
      </c>
      <c r="C519">
        <v>292</v>
      </c>
    </row>
    <row r="520" spans="1:8" hidden="1" x14ac:dyDescent="0.3">
      <c r="A520" t="s">
        <v>35</v>
      </c>
      <c r="B520">
        <v>2008</v>
      </c>
      <c r="C520">
        <v>382</v>
      </c>
      <c r="E520">
        <v>12.17</v>
      </c>
      <c r="F520">
        <v>3.22</v>
      </c>
      <c r="G520" s="6"/>
      <c r="H520" s="6"/>
    </row>
    <row r="521" spans="1:8" hidden="1" x14ac:dyDescent="0.3">
      <c r="A521" t="s">
        <v>35</v>
      </c>
      <c r="B521">
        <v>2009</v>
      </c>
      <c r="C521">
        <v>346</v>
      </c>
    </row>
    <row r="522" spans="1:8" hidden="1" x14ac:dyDescent="0.3">
      <c r="A522" t="s">
        <v>35</v>
      </c>
      <c r="B522">
        <v>2010</v>
      </c>
      <c r="C522">
        <v>369</v>
      </c>
    </row>
    <row r="523" spans="1:8" hidden="1" x14ac:dyDescent="0.3">
      <c r="A523" t="s">
        <v>35</v>
      </c>
      <c r="B523">
        <v>2011</v>
      </c>
      <c r="C523">
        <v>298</v>
      </c>
    </row>
    <row r="524" spans="1:8" x14ac:dyDescent="0.3">
      <c r="A524" t="s">
        <v>35</v>
      </c>
      <c r="B524">
        <v>2012</v>
      </c>
      <c r="C524">
        <v>424</v>
      </c>
    </row>
    <row r="525" spans="1:8" x14ac:dyDescent="0.3">
      <c r="A525" t="s">
        <v>35</v>
      </c>
      <c r="B525">
        <v>2013</v>
      </c>
      <c r="C525">
        <v>395</v>
      </c>
      <c r="E525">
        <v>11.52</v>
      </c>
      <c r="F525">
        <v>3.24</v>
      </c>
    </row>
    <row r="526" spans="1:8" x14ac:dyDescent="0.3">
      <c r="A526" t="s">
        <v>35</v>
      </c>
      <c r="B526">
        <v>2014</v>
      </c>
      <c r="C526">
        <v>399</v>
      </c>
      <c r="E526">
        <v>3.15</v>
      </c>
      <c r="F526">
        <v>3.6</v>
      </c>
      <c r="G526" s="6">
        <v>0.2734375</v>
      </c>
      <c r="H526" s="7">
        <v>6</v>
      </c>
    </row>
    <row r="527" spans="1:8" x14ac:dyDescent="0.3">
      <c r="A527" t="s">
        <v>35</v>
      </c>
      <c r="B527">
        <v>2015</v>
      </c>
      <c r="C527">
        <v>475</v>
      </c>
      <c r="F527">
        <v>3.6</v>
      </c>
    </row>
    <row r="528" spans="1:8" x14ac:dyDescent="0.3">
      <c r="A528" t="s">
        <v>35</v>
      </c>
      <c r="B528">
        <v>2016</v>
      </c>
      <c r="C528">
        <v>474</v>
      </c>
      <c r="F528">
        <v>2.4</v>
      </c>
    </row>
    <row r="529" spans="1:8" x14ac:dyDescent="0.3">
      <c r="A529" t="s">
        <v>35</v>
      </c>
      <c r="B529">
        <v>2017</v>
      </c>
      <c r="C529">
        <v>436</v>
      </c>
      <c r="E529">
        <v>3.15</v>
      </c>
    </row>
    <row r="530" spans="1:8" x14ac:dyDescent="0.3">
      <c r="A530" t="s">
        <v>35</v>
      </c>
      <c r="B530">
        <v>2018</v>
      </c>
      <c r="C530">
        <v>619</v>
      </c>
      <c r="E530">
        <v>3.15</v>
      </c>
      <c r="F530">
        <v>2.4</v>
      </c>
    </row>
    <row r="531" spans="1:8" hidden="1" x14ac:dyDescent="0.3">
      <c r="A531" t="s">
        <v>36</v>
      </c>
      <c r="B531">
        <v>2001</v>
      </c>
      <c r="C531">
        <v>275</v>
      </c>
    </row>
    <row r="532" spans="1:8" hidden="1" x14ac:dyDescent="0.3">
      <c r="A532" t="s">
        <v>36</v>
      </c>
      <c r="B532">
        <v>2008</v>
      </c>
      <c r="C532">
        <v>295</v>
      </c>
      <c r="E532">
        <v>6.45</v>
      </c>
      <c r="F532">
        <v>3.9</v>
      </c>
      <c r="G532" s="6"/>
      <c r="H532" s="6"/>
    </row>
    <row r="533" spans="1:8" hidden="1" x14ac:dyDescent="0.3">
      <c r="A533" t="s">
        <v>36</v>
      </c>
      <c r="B533">
        <v>2009</v>
      </c>
      <c r="C533">
        <v>269</v>
      </c>
    </row>
    <row r="534" spans="1:8" hidden="1" x14ac:dyDescent="0.3">
      <c r="A534" t="s">
        <v>36</v>
      </c>
      <c r="B534">
        <v>2010</v>
      </c>
      <c r="C534">
        <v>234</v>
      </c>
    </row>
    <row r="535" spans="1:8" hidden="1" x14ac:dyDescent="0.3">
      <c r="A535" t="s">
        <v>36</v>
      </c>
      <c r="B535">
        <v>2011</v>
      </c>
      <c r="C535">
        <v>261</v>
      </c>
    </row>
    <row r="536" spans="1:8" x14ac:dyDescent="0.3">
      <c r="A536" t="s">
        <v>36</v>
      </c>
      <c r="B536">
        <v>2012</v>
      </c>
      <c r="C536">
        <v>298</v>
      </c>
    </row>
    <row r="537" spans="1:8" x14ac:dyDescent="0.3">
      <c r="A537" t="s">
        <v>36</v>
      </c>
      <c r="B537">
        <v>2013</v>
      </c>
      <c r="C537">
        <v>282</v>
      </c>
      <c r="E537">
        <v>6.45</v>
      </c>
      <c r="F537">
        <v>3.9</v>
      </c>
    </row>
    <row r="538" spans="1:8" x14ac:dyDescent="0.3">
      <c r="A538" t="s">
        <v>36</v>
      </c>
      <c r="B538">
        <v>2014</v>
      </c>
      <c r="C538">
        <v>265</v>
      </c>
      <c r="E538">
        <v>3.15</v>
      </c>
      <c r="F538">
        <v>3.9</v>
      </c>
      <c r="G538">
        <v>0.48837209302325579</v>
      </c>
      <c r="H538">
        <v>18</v>
      </c>
    </row>
    <row r="539" spans="1:8" x14ac:dyDescent="0.3">
      <c r="A539" t="s">
        <v>36</v>
      </c>
      <c r="B539">
        <v>2015</v>
      </c>
      <c r="C539">
        <v>274</v>
      </c>
      <c r="F539">
        <v>3.9</v>
      </c>
    </row>
    <row r="540" spans="1:8" x14ac:dyDescent="0.3">
      <c r="A540" t="s">
        <v>36</v>
      </c>
      <c r="B540">
        <v>2016</v>
      </c>
      <c r="C540">
        <v>266</v>
      </c>
      <c r="F540">
        <v>3.9</v>
      </c>
    </row>
    <row r="541" spans="1:8" x14ac:dyDescent="0.3">
      <c r="A541" t="s">
        <v>36</v>
      </c>
      <c r="B541">
        <v>2017</v>
      </c>
      <c r="C541">
        <v>311</v>
      </c>
      <c r="E541">
        <v>0.9</v>
      </c>
    </row>
    <row r="542" spans="1:8" x14ac:dyDescent="0.3">
      <c r="A542" t="s">
        <v>36</v>
      </c>
      <c r="B542">
        <v>2018</v>
      </c>
      <c r="C542">
        <v>337</v>
      </c>
      <c r="E542">
        <v>0.9</v>
      </c>
      <c r="F542">
        <v>0.9</v>
      </c>
    </row>
    <row r="543" spans="1:8" hidden="1" x14ac:dyDescent="0.3">
      <c r="A543" t="s">
        <v>37</v>
      </c>
      <c r="B543">
        <v>2001</v>
      </c>
      <c r="C543">
        <v>121</v>
      </c>
    </row>
    <row r="544" spans="1:8" hidden="1" x14ac:dyDescent="0.3">
      <c r="A544" t="s">
        <v>37</v>
      </c>
      <c r="B544">
        <v>2008</v>
      </c>
      <c r="C544">
        <v>214</v>
      </c>
      <c r="E544">
        <v>9.3000000000000007</v>
      </c>
      <c r="F544">
        <v>4.4800000000000004</v>
      </c>
      <c r="G544" s="6"/>
      <c r="H544" s="6"/>
    </row>
    <row r="545" spans="1:8" hidden="1" x14ac:dyDescent="0.3">
      <c r="A545" t="s">
        <v>37</v>
      </c>
      <c r="B545">
        <v>2009</v>
      </c>
      <c r="C545">
        <v>324</v>
      </c>
    </row>
    <row r="546" spans="1:8" hidden="1" x14ac:dyDescent="0.3">
      <c r="A546" t="s">
        <v>37</v>
      </c>
      <c r="B546">
        <v>2010</v>
      </c>
      <c r="C546">
        <v>239</v>
      </c>
    </row>
    <row r="547" spans="1:8" hidden="1" x14ac:dyDescent="0.3">
      <c r="A547" t="s">
        <v>37</v>
      </c>
      <c r="B547">
        <v>2011</v>
      </c>
      <c r="C547">
        <v>227</v>
      </c>
    </row>
    <row r="548" spans="1:8" x14ac:dyDescent="0.3">
      <c r="A548" t="s">
        <v>37</v>
      </c>
      <c r="B548">
        <v>2012</v>
      </c>
      <c r="C548">
        <v>283</v>
      </c>
    </row>
    <row r="549" spans="1:8" x14ac:dyDescent="0.3">
      <c r="A549" t="s">
        <v>37</v>
      </c>
      <c r="B549">
        <v>2013</v>
      </c>
      <c r="C549">
        <v>427</v>
      </c>
      <c r="E549">
        <v>9.75</v>
      </c>
      <c r="F549">
        <v>4.5999999999999996</v>
      </c>
    </row>
    <row r="550" spans="1:8" x14ac:dyDescent="0.3">
      <c r="A550" t="s">
        <v>37</v>
      </c>
      <c r="B550">
        <v>2014</v>
      </c>
      <c r="C550">
        <v>433</v>
      </c>
      <c r="E550">
        <v>3.15</v>
      </c>
      <c r="F550">
        <v>4.5999999999999996</v>
      </c>
      <c r="G550">
        <v>0.32307692307692309</v>
      </c>
      <c r="H550">
        <v>11</v>
      </c>
    </row>
    <row r="551" spans="1:8" x14ac:dyDescent="0.3">
      <c r="A551" t="s">
        <v>37</v>
      </c>
      <c r="B551">
        <v>2015</v>
      </c>
      <c r="C551">
        <v>331</v>
      </c>
      <c r="F551">
        <v>4.5999999999999996</v>
      </c>
    </row>
    <row r="552" spans="1:8" x14ac:dyDescent="0.3">
      <c r="A552" t="s">
        <v>37</v>
      </c>
      <c r="B552">
        <v>2016</v>
      </c>
      <c r="C552">
        <v>466</v>
      </c>
      <c r="F552">
        <v>2.85</v>
      </c>
    </row>
    <row r="553" spans="1:8" x14ac:dyDescent="0.3">
      <c r="A553" t="s">
        <v>37</v>
      </c>
      <c r="B553">
        <v>2017</v>
      </c>
      <c r="C553">
        <v>403</v>
      </c>
      <c r="E553">
        <v>2.85</v>
      </c>
    </row>
    <row r="554" spans="1:8" x14ac:dyDescent="0.3">
      <c r="A554" t="s">
        <v>37</v>
      </c>
      <c r="B554">
        <v>2018</v>
      </c>
      <c r="C554">
        <v>327</v>
      </c>
      <c r="E554">
        <v>2.85</v>
      </c>
      <c r="F554">
        <v>2.85</v>
      </c>
    </row>
    <row r="555" spans="1:8" hidden="1" x14ac:dyDescent="0.3">
      <c r="A555" t="s">
        <v>52</v>
      </c>
      <c r="B555">
        <v>2001</v>
      </c>
      <c r="C555">
        <v>214</v>
      </c>
    </row>
    <row r="556" spans="1:8" hidden="1" x14ac:dyDescent="0.3">
      <c r="A556" t="s">
        <v>52</v>
      </c>
      <c r="B556">
        <v>2008</v>
      </c>
      <c r="C556">
        <v>142</v>
      </c>
      <c r="E556">
        <v>10.25</v>
      </c>
      <c r="F556">
        <v>4.62</v>
      </c>
      <c r="G556" s="6"/>
      <c r="H556" s="6"/>
    </row>
    <row r="557" spans="1:8" hidden="1" x14ac:dyDescent="0.3">
      <c r="A557" t="s">
        <v>52</v>
      </c>
      <c r="B557">
        <v>2009</v>
      </c>
      <c r="C557">
        <v>135</v>
      </c>
    </row>
    <row r="558" spans="1:8" hidden="1" x14ac:dyDescent="0.3">
      <c r="A558" t="s">
        <v>52</v>
      </c>
      <c r="B558">
        <v>2010</v>
      </c>
      <c r="C558">
        <v>241</v>
      </c>
    </row>
    <row r="559" spans="1:8" hidden="1" x14ac:dyDescent="0.3">
      <c r="A559" t="s">
        <v>52</v>
      </c>
      <c r="B559">
        <v>2011</v>
      </c>
      <c r="C559">
        <v>0</v>
      </c>
    </row>
    <row r="560" spans="1:8" x14ac:dyDescent="0.3">
      <c r="A560" t="s">
        <v>52</v>
      </c>
      <c r="B560">
        <v>2012</v>
      </c>
      <c r="C560">
        <v>98</v>
      </c>
    </row>
    <row r="561" spans="1:8" x14ac:dyDescent="0.3">
      <c r="A561" t="s">
        <v>52</v>
      </c>
      <c r="B561">
        <v>2013</v>
      </c>
      <c r="C561">
        <v>385</v>
      </c>
      <c r="E561">
        <v>2.5</v>
      </c>
      <c r="F561">
        <v>2.5</v>
      </c>
    </row>
    <row r="562" spans="1:8" x14ac:dyDescent="0.3">
      <c r="A562" t="s">
        <v>52</v>
      </c>
      <c r="B562">
        <v>2014</v>
      </c>
      <c r="C562">
        <v>303</v>
      </c>
      <c r="E562">
        <v>3.15</v>
      </c>
      <c r="F562">
        <v>3.23</v>
      </c>
      <c r="G562">
        <v>1.26</v>
      </c>
      <c r="H562">
        <v>42</v>
      </c>
    </row>
    <row r="563" spans="1:8" x14ac:dyDescent="0.3">
      <c r="A563" t="s">
        <v>52</v>
      </c>
      <c r="B563">
        <v>2015</v>
      </c>
      <c r="C563">
        <v>229</v>
      </c>
      <c r="F563">
        <v>3.07</v>
      </c>
    </row>
    <row r="564" spans="1:8" x14ac:dyDescent="0.3">
      <c r="A564" t="s">
        <v>52</v>
      </c>
      <c r="B564">
        <v>2016</v>
      </c>
      <c r="C564">
        <v>403</v>
      </c>
      <c r="F564">
        <v>1.76</v>
      </c>
    </row>
    <row r="565" spans="1:8" x14ac:dyDescent="0.3">
      <c r="A565" t="s">
        <v>52</v>
      </c>
      <c r="B565">
        <v>2017</v>
      </c>
      <c r="C565">
        <v>300</v>
      </c>
      <c r="E565">
        <v>1.76</v>
      </c>
      <c r="F565">
        <v>1.04</v>
      </c>
    </row>
    <row r="566" spans="1:8" x14ac:dyDescent="0.3">
      <c r="A566" t="s">
        <v>52</v>
      </c>
      <c r="B566">
        <v>2018</v>
      </c>
      <c r="C566">
        <v>117</v>
      </c>
      <c r="E566">
        <v>1.04</v>
      </c>
      <c r="F566">
        <v>0.59</v>
      </c>
    </row>
    <row r="567" spans="1:8" hidden="1" x14ac:dyDescent="0.3">
      <c r="A567" t="s">
        <v>38</v>
      </c>
      <c r="B567">
        <v>2001</v>
      </c>
      <c r="C567">
        <v>226</v>
      </c>
    </row>
    <row r="568" spans="1:8" hidden="1" x14ac:dyDescent="0.3">
      <c r="A568" t="s">
        <v>38</v>
      </c>
      <c r="B568">
        <v>2008</v>
      </c>
      <c r="C568">
        <v>264</v>
      </c>
      <c r="E568">
        <v>8.42</v>
      </c>
      <c r="F568">
        <v>5.75</v>
      </c>
      <c r="G568" s="6"/>
      <c r="H568" s="6"/>
    </row>
    <row r="569" spans="1:8" hidden="1" x14ac:dyDescent="0.3">
      <c r="A569" t="s">
        <v>38</v>
      </c>
      <c r="B569">
        <v>2009</v>
      </c>
      <c r="C569">
        <v>281</v>
      </c>
    </row>
    <row r="570" spans="1:8" hidden="1" x14ac:dyDescent="0.3">
      <c r="A570" t="s">
        <v>38</v>
      </c>
      <c r="B570">
        <v>2010</v>
      </c>
      <c r="C570">
        <v>291</v>
      </c>
    </row>
    <row r="571" spans="1:8" hidden="1" x14ac:dyDescent="0.3">
      <c r="A571" t="s">
        <v>38</v>
      </c>
      <c r="B571">
        <v>2011</v>
      </c>
      <c r="C571">
        <v>324</v>
      </c>
    </row>
    <row r="572" spans="1:8" x14ac:dyDescent="0.3">
      <c r="A572" t="s">
        <v>38</v>
      </c>
      <c r="B572">
        <v>2012</v>
      </c>
      <c r="C572">
        <v>289</v>
      </c>
    </row>
    <row r="573" spans="1:8" x14ac:dyDescent="0.3">
      <c r="A573" t="s">
        <v>38</v>
      </c>
      <c r="B573">
        <v>2013</v>
      </c>
      <c r="C573">
        <v>273</v>
      </c>
      <c r="E573">
        <v>8.4</v>
      </c>
      <c r="F573">
        <v>5.2</v>
      </c>
    </row>
    <row r="574" spans="1:8" x14ac:dyDescent="0.3">
      <c r="A574" t="s">
        <v>38</v>
      </c>
      <c r="B574">
        <v>2014</v>
      </c>
      <c r="C574">
        <v>300</v>
      </c>
      <c r="E574">
        <v>3.15</v>
      </c>
      <c r="F574">
        <v>6</v>
      </c>
      <c r="G574">
        <v>0.375</v>
      </c>
      <c r="H574">
        <v>13</v>
      </c>
    </row>
    <row r="575" spans="1:8" x14ac:dyDescent="0.3">
      <c r="A575" t="s">
        <v>38</v>
      </c>
      <c r="B575">
        <v>2015</v>
      </c>
      <c r="C575">
        <v>296</v>
      </c>
      <c r="F575">
        <v>6</v>
      </c>
    </row>
    <row r="576" spans="1:8" x14ac:dyDescent="0.3">
      <c r="A576" t="s">
        <v>38</v>
      </c>
      <c r="B576">
        <v>2016</v>
      </c>
      <c r="C576">
        <v>301</v>
      </c>
      <c r="F576">
        <v>0.61</v>
      </c>
    </row>
    <row r="577" spans="1:8" x14ac:dyDescent="0.3">
      <c r="A577" t="s">
        <v>38</v>
      </c>
      <c r="B577">
        <v>2017</v>
      </c>
      <c r="C577">
        <v>312</v>
      </c>
      <c r="E577">
        <v>0.62</v>
      </c>
    </row>
    <row r="578" spans="1:8" x14ac:dyDescent="0.3">
      <c r="A578" t="s">
        <v>38</v>
      </c>
      <c r="B578">
        <v>2018</v>
      </c>
      <c r="C578">
        <v>358</v>
      </c>
      <c r="E578">
        <v>0.61</v>
      </c>
      <c r="F578">
        <v>0.61</v>
      </c>
    </row>
    <row r="579" spans="1:8" hidden="1" x14ac:dyDescent="0.3">
      <c r="A579" t="s">
        <v>39</v>
      </c>
      <c r="B579">
        <v>2001</v>
      </c>
      <c r="C579">
        <v>190</v>
      </c>
    </row>
    <row r="580" spans="1:8" hidden="1" x14ac:dyDescent="0.3">
      <c r="A580" t="s">
        <v>39</v>
      </c>
      <c r="B580">
        <v>2008</v>
      </c>
      <c r="C580">
        <v>204</v>
      </c>
      <c r="E580">
        <v>17.41</v>
      </c>
      <c r="F580">
        <v>2.5</v>
      </c>
      <c r="G580" s="6"/>
      <c r="H580" s="6"/>
    </row>
    <row r="581" spans="1:8" hidden="1" x14ac:dyDescent="0.3">
      <c r="A581" t="s">
        <v>39</v>
      </c>
      <c r="B581">
        <v>2009</v>
      </c>
      <c r="C581">
        <v>255</v>
      </c>
    </row>
    <row r="582" spans="1:8" hidden="1" x14ac:dyDescent="0.3">
      <c r="A582" t="s">
        <v>39</v>
      </c>
      <c r="B582">
        <v>2010</v>
      </c>
      <c r="C582">
        <v>206</v>
      </c>
    </row>
    <row r="583" spans="1:8" hidden="1" x14ac:dyDescent="0.3">
      <c r="A583" t="s">
        <v>39</v>
      </c>
      <c r="B583">
        <v>2011</v>
      </c>
      <c r="C583">
        <v>123</v>
      </c>
    </row>
    <row r="584" spans="1:8" x14ac:dyDescent="0.3">
      <c r="A584" t="s">
        <v>39</v>
      </c>
      <c r="B584">
        <v>2012</v>
      </c>
      <c r="C584">
        <v>195</v>
      </c>
    </row>
    <row r="585" spans="1:8" x14ac:dyDescent="0.3">
      <c r="A585" t="s">
        <v>39</v>
      </c>
      <c r="B585">
        <v>2013</v>
      </c>
      <c r="C585">
        <v>220</v>
      </c>
      <c r="E585">
        <v>11</v>
      </c>
      <c r="F585">
        <v>3.15</v>
      </c>
    </row>
    <row r="586" spans="1:8" x14ac:dyDescent="0.3">
      <c r="A586" t="s">
        <v>39</v>
      </c>
      <c r="B586">
        <v>2014</v>
      </c>
      <c r="C586">
        <v>221</v>
      </c>
      <c r="E586">
        <v>3.15</v>
      </c>
      <c r="F586">
        <v>3.5</v>
      </c>
      <c r="G586" s="6">
        <v>0.28636363636363638</v>
      </c>
      <c r="H586" s="7">
        <v>7</v>
      </c>
    </row>
    <row r="587" spans="1:8" x14ac:dyDescent="0.3">
      <c r="A587" t="s">
        <v>39</v>
      </c>
      <c r="B587">
        <v>2015</v>
      </c>
      <c r="C587">
        <v>244</v>
      </c>
      <c r="F587">
        <v>3.5</v>
      </c>
    </row>
    <row r="588" spans="1:8" x14ac:dyDescent="0.3">
      <c r="A588" t="s">
        <v>39</v>
      </c>
      <c r="B588">
        <v>2016</v>
      </c>
      <c r="C588">
        <v>163</v>
      </c>
      <c r="F588">
        <v>1.65</v>
      </c>
    </row>
    <row r="589" spans="1:8" x14ac:dyDescent="0.3">
      <c r="A589" t="s">
        <v>39</v>
      </c>
      <c r="B589">
        <v>2017</v>
      </c>
      <c r="C589">
        <v>226</v>
      </c>
      <c r="E589">
        <v>1.65</v>
      </c>
      <c r="F589">
        <v>1.65</v>
      </c>
    </row>
    <row r="590" spans="1:8" x14ac:dyDescent="0.3">
      <c r="A590" t="s">
        <v>39</v>
      </c>
      <c r="B590">
        <v>2018</v>
      </c>
      <c r="C590">
        <v>207</v>
      </c>
      <c r="E590">
        <v>1.65</v>
      </c>
      <c r="F590">
        <v>1.65</v>
      </c>
    </row>
    <row r="591" spans="1:8" hidden="1" x14ac:dyDescent="0.3">
      <c r="A591" t="s">
        <v>40</v>
      </c>
      <c r="B591">
        <v>2001</v>
      </c>
      <c r="C591">
        <v>500</v>
      </c>
    </row>
    <row r="592" spans="1:8" hidden="1" x14ac:dyDescent="0.3">
      <c r="A592" t="s">
        <v>40</v>
      </c>
      <c r="B592">
        <v>2008</v>
      </c>
      <c r="C592">
        <v>388</v>
      </c>
      <c r="E592">
        <v>7.85</v>
      </c>
      <c r="F592">
        <v>3.65</v>
      </c>
      <c r="G592" s="6"/>
      <c r="H592" s="6"/>
    </row>
    <row r="593" spans="1:8" hidden="1" x14ac:dyDescent="0.3">
      <c r="A593" t="s">
        <v>40</v>
      </c>
      <c r="B593">
        <v>2009</v>
      </c>
      <c r="C593">
        <v>356</v>
      </c>
    </row>
    <row r="594" spans="1:8" hidden="1" x14ac:dyDescent="0.3">
      <c r="A594" t="s">
        <v>40</v>
      </c>
      <c r="B594">
        <v>2010</v>
      </c>
      <c r="C594">
        <v>394</v>
      </c>
    </row>
    <row r="595" spans="1:8" hidden="1" x14ac:dyDescent="0.3">
      <c r="A595" t="s">
        <v>40</v>
      </c>
      <c r="B595">
        <v>2011</v>
      </c>
      <c r="C595">
        <v>447</v>
      </c>
    </row>
    <row r="596" spans="1:8" x14ac:dyDescent="0.3">
      <c r="A596" t="s">
        <v>40</v>
      </c>
      <c r="B596">
        <v>2012</v>
      </c>
      <c r="C596">
        <v>450</v>
      </c>
    </row>
    <row r="597" spans="1:8" x14ac:dyDescent="0.3">
      <c r="A597" t="s">
        <v>40</v>
      </c>
      <c r="B597">
        <v>2013</v>
      </c>
      <c r="C597">
        <v>456</v>
      </c>
      <c r="E597">
        <v>7.35</v>
      </c>
      <c r="F597">
        <v>3.45</v>
      </c>
    </row>
    <row r="598" spans="1:8" x14ac:dyDescent="0.3">
      <c r="A598" t="s">
        <v>40</v>
      </c>
      <c r="B598">
        <v>2014</v>
      </c>
      <c r="C598">
        <v>409</v>
      </c>
      <c r="E598">
        <v>3.15</v>
      </c>
      <c r="F598">
        <v>3.85</v>
      </c>
      <c r="G598">
        <v>0.4285714285714286</v>
      </c>
      <c r="H598">
        <v>15</v>
      </c>
    </row>
    <row r="599" spans="1:8" x14ac:dyDescent="0.3">
      <c r="A599" t="s">
        <v>40</v>
      </c>
      <c r="B599">
        <v>2015</v>
      </c>
      <c r="C599">
        <v>473</v>
      </c>
      <c r="F599">
        <v>3.85</v>
      </c>
    </row>
    <row r="600" spans="1:8" x14ac:dyDescent="0.3">
      <c r="A600" t="s">
        <v>40</v>
      </c>
      <c r="B600">
        <v>2016</v>
      </c>
      <c r="C600">
        <v>441</v>
      </c>
      <c r="F600">
        <v>0.47</v>
      </c>
    </row>
    <row r="601" spans="1:8" x14ac:dyDescent="0.3">
      <c r="A601" t="s">
        <v>40</v>
      </c>
      <c r="B601">
        <v>2017</v>
      </c>
      <c r="C601">
        <v>490</v>
      </c>
      <c r="E601">
        <v>0.48</v>
      </c>
    </row>
    <row r="602" spans="1:8" x14ac:dyDescent="0.3">
      <c r="A602" t="s">
        <v>40</v>
      </c>
      <c r="B602">
        <v>2018</v>
      </c>
      <c r="C602">
        <v>583</v>
      </c>
      <c r="E602">
        <v>0.48</v>
      </c>
      <c r="F602">
        <v>0.48</v>
      </c>
    </row>
    <row r="603" spans="1:8" hidden="1" x14ac:dyDescent="0.3">
      <c r="A603" t="s">
        <v>41</v>
      </c>
      <c r="B603">
        <v>2001</v>
      </c>
      <c r="C603">
        <v>231</v>
      </c>
    </row>
    <row r="604" spans="1:8" hidden="1" x14ac:dyDescent="0.3">
      <c r="A604" t="s">
        <v>41</v>
      </c>
      <c r="B604">
        <v>2008</v>
      </c>
      <c r="C604">
        <v>197</v>
      </c>
      <c r="E604">
        <v>6.9</v>
      </c>
      <c r="F604">
        <v>5.17</v>
      </c>
      <c r="G604" s="6"/>
      <c r="H604" s="6"/>
    </row>
    <row r="605" spans="1:8" hidden="1" x14ac:dyDescent="0.3">
      <c r="A605" t="s">
        <v>41</v>
      </c>
      <c r="B605">
        <v>2009</v>
      </c>
      <c r="C605">
        <v>189</v>
      </c>
    </row>
    <row r="606" spans="1:8" hidden="1" x14ac:dyDescent="0.3">
      <c r="A606" t="s">
        <v>41</v>
      </c>
      <c r="B606">
        <v>2010</v>
      </c>
      <c r="C606">
        <v>113</v>
      </c>
    </row>
    <row r="607" spans="1:8" hidden="1" x14ac:dyDescent="0.3">
      <c r="A607" t="s">
        <v>41</v>
      </c>
      <c r="B607">
        <v>2011</v>
      </c>
      <c r="C607">
        <v>214</v>
      </c>
    </row>
    <row r="608" spans="1:8" x14ac:dyDescent="0.3">
      <c r="A608" t="s">
        <v>41</v>
      </c>
      <c r="B608">
        <v>2012</v>
      </c>
      <c r="C608">
        <v>205</v>
      </c>
    </row>
    <row r="609" spans="1:8" x14ac:dyDescent="0.3">
      <c r="A609" t="s">
        <v>41</v>
      </c>
      <c r="B609">
        <v>2013</v>
      </c>
      <c r="C609">
        <v>192</v>
      </c>
      <c r="E609">
        <v>2.7</v>
      </c>
      <c r="F609">
        <v>1.8</v>
      </c>
    </row>
    <row r="610" spans="1:8" x14ac:dyDescent="0.3">
      <c r="A610" t="s">
        <v>41</v>
      </c>
      <c r="B610">
        <v>2014</v>
      </c>
      <c r="C610">
        <v>257</v>
      </c>
      <c r="E610">
        <v>2.7</v>
      </c>
      <c r="F610">
        <v>1.8</v>
      </c>
      <c r="G610">
        <v>1</v>
      </c>
      <c r="H610">
        <v>31</v>
      </c>
    </row>
    <row r="611" spans="1:8" x14ac:dyDescent="0.3">
      <c r="A611" t="s">
        <v>41</v>
      </c>
      <c r="B611">
        <v>2015</v>
      </c>
      <c r="C611">
        <v>201</v>
      </c>
      <c r="F611">
        <v>1.8</v>
      </c>
    </row>
    <row r="612" spans="1:8" x14ac:dyDescent="0.3">
      <c r="A612" t="s">
        <v>41</v>
      </c>
      <c r="B612">
        <v>2016</v>
      </c>
      <c r="C612">
        <v>285</v>
      </c>
      <c r="F612">
        <v>1.8</v>
      </c>
    </row>
    <row r="613" spans="1:8" x14ac:dyDescent="0.3">
      <c r="A613" t="s">
        <v>41</v>
      </c>
      <c r="B613">
        <v>2017</v>
      </c>
      <c r="C613">
        <v>183</v>
      </c>
      <c r="E613">
        <v>2.7</v>
      </c>
      <c r="F613">
        <v>1.8</v>
      </c>
    </row>
    <row r="614" spans="1:8" x14ac:dyDescent="0.3">
      <c r="A614" t="s">
        <v>41</v>
      </c>
      <c r="B614">
        <v>2018</v>
      </c>
      <c r="C614">
        <v>221</v>
      </c>
      <c r="E614">
        <v>2.7</v>
      </c>
      <c r="F614">
        <v>1.8</v>
      </c>
    </row>
    <row r="615" spans="1:8" hidden="1" x14ac:dyDescent="0.3">
      <c r="A615" t="s">
        <v>42</v>
      </c>
      <c r="B615">
        <v>2001</v>
      </c>
      <c r="C615">
        <v>336</v>
      </c>
    </row>
    <row r="616" spans="1:8" hidden="1" x14ac:dyDescent="0.3">
      <c r="A616" t="s">
        <v>42</v>
      </c>
      <c r="B616">
        <v>2008</v>
      </c>
      <c r="C616">
        <v>528</v>
      </c>
      <c r="E616">
        <v>12.23</v>
      </c>
      <c r="F616">
        <v>3.55</v>
      </c>
      <c r="G616" s="6"/>
      <c r="H616" s="6"/>
    </row>
    <row r="617" spans="1:8" hidden="1" x14ac:dyDescent="0.3">
      <c r="A617" t="s">
        <v>42</v>
      </c>
      <c r="B617">
        <v>2009</v>
      </c>
      <c r="C617">
        <v>402</v>
      </c>
    </row>
    <row r="618" spans="1:8" hidden="1" x14ac:dyDescent="0.3">
      <c r="A618" t="s">
        <v>42</v>
      </c>
      <c r="B618">
        <v>2010</v>
      </c>
      <c r="C618">
        <v>96</v>
      </c>
    </row>
    <row r="619" spans="1:8" hidden="1" x14ac:dyDescent="0.3">
      <c r="A619" t="s">
        <v>42</v>
      </c>
      <c r="B619">
        <v>2011</v>
      </c>
      <c r="C619">
        <v>139</v>
      </c>
    </row>
    <row r="620" spans="1:8" x14ac:dyDescent="0.3">
      <c r="A620" t="s">
        <v>42</v>
      </c>
      <c r="B620">
        <v>2012</v>
      </c>
      <c r="C620">
        <v>183</v>
      </c>
    </row>
    <row r="621" spans="1:8" x14ac:dyDescent="0.3">
      <c r="A621" t="s">
        <v>42</v>
      </c>
      <c r="B621">
        <v>2013</v>
      </c>
      <c r="C621">
        <v>175</v>
      </c>
      <c r="E621">
        <v>9.9</v>
      </c>
      <c r="F621">
        <v>3.08</v>
      </c>
    </row>
    <row r="622" spans="1:8" x14ac:dyDescent="0.3">
      <c r="A622" t="s">
        <v>42</v>
      </c>
      <c r="B622">
        <v>2014</v>
      </c>
      <c r="C622">
        <v>507</v>
      </c>
      <c r="E622">
        <v>3.15</v>
      </c>
      <c r="F622">
        <v>3.72</v>
      </c>
      <c r="G622">
        <v>0.31818181818181818</v>
      </c>
      <c r="H622">
        <v>9</v>
      </c>
    </row>
    <row r="623" spans="1:8" x14ac:dyDescent="0.3">
      <c r="A623" t="s">
        <v>42</v>
      </c>
      <c r="B623">
        <v>2015</v>
      </c>
      <c r="C623">
        <v>292</v>
      </c>
      <c r="F623">
        <v>3.72</v>
      </c>
    </row>
    <row r="624" spans="1:8" x14ac:dyDescent="0.3">
      <c r="A624" t="s">
        <v>42</v>
      </c>
      <c r="B624">
        <v>2016</v>
      </c>
      <c r="C624">
        <v>468</v>
      </c>
      <c r="F624">
        <v>1.65</v>
      </c>
    </row>
    <row r="625" spans="1:6" x14ac:dyDescent="0.3">
      <c r="A625" t="s">
        <v>42</v>
      </c>
      <c r="B625">
        <v>2017</v>
      </c>
      <c r="C625">
        <v>331</v>
      </c>
      <c r="E625">
        <v>1.65</v>
      </c>
      <c r="F625">
        <v>1.65</v>
      </c>
    </row>
    <row r="626" spans="1:6" x14ac:dyDescent="0.3">
      <c r="A626" t="s">
        <v>42</v>
      </c>
      <c r="B626">
        <v>2018</v>
      </c>
      <c r="C626">
        <v>245</v>
      </c>
      <c r="E626">
        <v>1.65</v>
      </c>
      <c r="F626">
        <v>1.65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Ford</dc:creator>
  <cp:lastModifiedBy>David Ford</cp:lastModifiedBy>
  <dcterms:created xsi:type="dcterms:W3CDTF">2021-10-25T17:23:39Z</dcterms:created>
  <dcterms:modified xsi:type="dcterms:W3CDTF">2021-11-03T19:54:50Z</dcterms:modified>
</cp:coreProperties>
</file>